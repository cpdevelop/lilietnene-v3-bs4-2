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65" yWindow="90" windowWidth="18390" windowHeight="12135" tabRatio="996" activeTab="8"/>
  </bookViews>
  <sheets>
    <sheet name="result" sheetId="1" r:id="rId1"/>
    <sheet name="all" sheetId="2" r:id="rId2"/>
    <sheet name="ref" sheetId="33" r:id="rId3"/>
    <sheet name="index.carousel" sheetId="5" r:id="rId4"/>
    <sheet name="index.arrivals" sheetId="3" r:id="rId5"/>
    <sheet name="index.collection" sheetId="6" r:id="rId6"/>
    <sheet name="index.brands" sheetId="4" r:id="rId7"/>
    <sheet name="index.blog" sheetId="7" r:id="rId8"/>
    <sheet name="baby.hero" sheetId="38" r:id="rId9"/>
    <sheet name="kids.hero" sheetId="42" r:id="rId10"/>
    <sheet name="woman.hero" sheetId="46" r:id="rId11"/>
    <sheet name="baby.brand" sheetId="41" r:id="rId12"/>
    <sheet name="kids.brand" sheetId="45" r:id="rId13"/>
    <sheet name="woman.brand" sheetId="50" r:id="rId14"/>
    <sheet name="baby.item" sheetId="40" r:id="rId15"/>
    <sheet name="kids.item" sheetId="44" r:id="rId16"/>
    <sheet name="woman.item" sheetId="49" r:id="rId17"/>
    <sheet name="nav.baby-items" sheetId="53" r:id="rId18"/>
    <sheet name="nav.kids-items" sheetId="56" r:id="rId19"/>
    <sheet name="nav.woman-items" sheetId="59" r:id="rId20"/>
    <sheet name="nav.baby-size" sheetId="54" r:id="rId21"/>
    <sheet name="nav.kids-size" sheetId="57" r:id="rId22"/>
    <sheet name="nav.baby-brand" sheetId="55" r:id="rId23"/>
    <sheet name="nav.kids-brand" sheetId="58" r:id="rId24"/>
    <sheet name="nav.woman-brand1" sheetId="60" r:id="rId25"/>
    <sheet name="nav.woman-brand2" sheetId="70" r:id="rId26"/>
    <sheet name="nav.baby-goods" sheetId="75" r:id="rId27"/>
    <sheet name="nav.kids-goods" sheetId="76" r:id="rId28"/>
    <sheet name="nav.woman-goods" sheetId="77" r:id="rId29"/>
    <sheet name="nav.goods-items1" sheetId="61" r:id="rId30"/>
    <sheet name="nav.goods-items2" sheetId="71" r:id="rId31"/>
    <sheet name="nav.goods-brands" sheetId="62" r:id="rId32"/>
    <sheet name="nav.goods-toy" sheetId="69" r:id="rId33"/>
    <sheet name="nav.gifts-personality" sheetId="64" r:id="rId34"/>
    <sheet name="nav.gifts-set" sheetId="66" r:id="rId35"/>
    <sheet name="nav.gifts-budget" sheetId="65" r:id="rId36"/>
    <sheet name="nav.sale-season" sheetId="72" r:id="rId37"/>
    <sheet name="nav.sale-category" sheetId="78" r:id="rId38"/>
    <sheet name="nav.sale-outlet" sheetId="73" r:id="rId39"/>
    <sheet name="brands.index" sheetId="67" r:id="rId40"/>
  </sheets>
  <externalReferences>
    <externalReference r:id="rId41"/>
  </externalReferences>
  <definedNames>
    <definedName name="_xlnm._FilterDatabase" localSheetId="39" hidden="1">brands.index!$A$1:$M$100</definedName>
    <definedName name="_xlnm._FilterDatabase" localSheetId="22" hidden="1">'nav.baby-brand'!$B$1:$F$11</definedName>
    <definedName name="_xlnm._FilterDatabase" localSheetId="23" hidden="1">'nav.kids-brand'!$B$1:$F$11</definedName>
  </definedNames>
  <calcPr calcId="145621"/>
</workbook>
</file>

<file path=xl/calcChain.xml><?xml version="1.0" encoding="utf-8"?>
<calcChain xmlns="http://schemas.openxmlformats.org/spreadsheetml/2006/main">
  <c r="H4" i="5" l="1"/>
  <c r="H3" i="5"/>
  <c r="H7" i="5"/>
  <c r="H6" i="5"/>
  <c r="H5" i="5"/>
  <c r="G4" i="5"/>
  <c r="G3" i="5"/>
  <c r="G2" i="5"/>
  <c r="I7" i="4"/>
  <c r="I6" i="4"/>
  <c r="I5" i="4"/>
  <c r="I4" i="4"/>
  <c r="I3" i="4"/>
  <c r="D7" i="4"/>
  <c r="C7" i="4"/>
  <c r="D6" i="4"/>
  <c r="C6" i="4"/>
  <c r="D5" i="4"/>
  <c r="C5" i="4"/>
  <c r="D4" i="4"/>
  <c r="C4" i="4"/>
  <c r="D3" i="4"/>
  <c r="C3" i="4"/>
  <c r="D2" i="4"/>
  <c r="C2" i="4"/>
  <c r="H7" i="4"/>
  <c r="H6" i="4"/>
  <c r="H5" i="4"/>
  <c r="H4" i="4"/>
  <c r="H3" i="4"/>
  <c r="H2" i="4"/>
  <c r="C10" i="71" l="1"/>
  <c r="C9" i="71"/>
  <c r="C8" i="71"/>
  <c r="C3" i="71"/>
  <c r="C2" i="71"/>
  <c r="C10" i="61"/>
  <c r="C7" i="71"/>
  <c r="C6" i="71"/>
  <c r="C5" i="71"/>
  <c r="C4" i="71"/>
  <c r="C9" i="61"/>
  <c r="C8" i="61"/>
  <c r="C7" i="61"/>
  <c r="C6" i="61"/>
  <c r="C5" i="61"/>
  <c r="C4" i="61"/>
  <c r="C3" i="61"/>
  <c r="C2" i="61"/>
  <c r="C20" i="50"/>
  <c r="F7" i="60"/>
  <c r="E7" i="60"/>
  <c r="D7" i="60" s="1"/>
  <c r="C7" i="60"/>
  <c r="C10" i="57"/>
  <c r="C9" i="57"/>
  <c r="C2" i="57"/>
  <c r="C5" i="54"/>
  <c r="C4" i="54"/>
  <c r="C3" i="54"/>
  <c r="H41" i="67"/>
  <c r="F3" i="67" l="1"/>
  <c r="F4" i="67"/>
  <c r="F5" i="67"/>
  <c r="F6" i="67"/>
  <c r="F7" i="67"/>
  <c r="F8" i="67"/>
  <c r="F9" i="67"/>
  <c r="F10" i="67"/>
  <c r="F11" i="67"/>
  <c r="F12" i="67"/>
  <c r="F13" i="67"/>
  <c r="F14" i="67"/>
  <c r="F15" i="67"/>
  <c r="F16" i="67"/>
  <c r="F17" i="67"/>
  <c r="F18" i="67"/>
  <c r="F19" i="67"/>
  <c r="F20" i="67"/>
  <c r="F21" i="67"/>
  <c r="F22" i="67"/>
  <c r="F23" i="67"/>
  <c r="F24" i="67"/>
  <c r="F25" i="67"/>
  <c r="F26" i="67"/>
  <c r="F27" i="67"/>
  <c r="F28" i="67"/>
  <c r="F29" i="67"/>
  <c r="F30" i="67"/>
  <c r="F31" i="67"/>
  <c r="F32" i="67"/>
  <c r="F33" i="67"/>
  <c r="F34" i="67"/>
  <c r="F35" i="67"/>
  <c r="F36" i="67"/>
  <c r="F37" i="67"/>
  <c r="F38" i="67"/>
  <c r="F39" i="67"/>
  <c r="F40" i="67"/>
  <c r="F41" i="67"/>
  <c r="F42" i="67"/>
  <c r="F43" i="67"/>
  <c r="F44" i="67"/>
  <c r="F45" i="67"/>
  <c r="F46" i="67"/>
  <c r="F47" i="67"/>
  <c r="F48" i="67"/>
  <c r="F49" i="67"/>
  <c r="F50" i="67"/>
  <c r="F51" i="67"/>
  <c r="F52" i="67"/>
  <c r="F53" i="67"/>
  <c r="F54" i="67"/>
  <c r="F55" i="67"/>
  <c r="F56" i="67"/>
  <c r="F57" i="67"/>
  <c r="F58" i="67"/>
  <c r="F59" i="67"/>
  <c r="F60" i="67"/>
  <c r="F61" i="67"/>
  <c r="F62" i="67"/>
  <c r="F63" i="67"/>
  <c r="F64" i="67"/>
  <c r="F65" i="67"/>
  <c r="F66" i="67"/>
  <c r="F67" i="67"/>
  <c r="F68" i="67"/>
  <c r="F69" i="67"/>
  <c r="F70" i="67"/>
  <c r="F71" i="67"/>
  <c r="F72" i="67"/>
  <c r="F73" i="67"/>
  <c r="F74" i="67"/>
  <c r="F75" i="67"/>
  <c r="F76" i="67"/>
  <c r="F77" i="67"/>
  <c r="F78" i="67"/>
  <c r="F79" i="67"/>
  <c r="F80" i="67"/>
  <c r="F81" i="67"/>
  <c r="F82" i="67"/>
  <c r="F83" i="67"/>
  <c r="F84" i="67"/>
  <c r="F85" i="67"/>
  <c r="F86" i="67"/>
  <c r="F87" i="67"/>
  <c r="F88" i="67"/>
  <c r="F89" i="67"/>
  <c r="F90" i="67"/>
  <c r="F91" i="67"/>
  <c r="F92" i="67"/>
  <c r="F93" i="67"/>
  <c r="F94" i="67"/>
  <c r="F95" i="67"/>
  <c r="F96" i="67"/>
  <c r="F97" i="67"/>
  <c r="F98" i="67"/>
  <c r="F99" i="67"/>
  <c r="F100" i="67"/>
  <c r="F2" i="67"/>
  <c r="D18" i="49"/>
  <c r="D17" i="49"/>
  <c r="D16" i="49"/>
  <c r="D15" i="49"/>
  <c r="D14" i="49"/>
  <c r="D13" i="49"/>
  <c r="D12" i="49"/>
  <c r="D11" i="49"/>
  <c r="D10" i="49"/>
  <c r="D7" i="49"/>
  <c r="D6" i="49"/>
  <c r="F6" i="70" l="1"/>
  <c r="E6" i="70"/>
  <c r="D6" i="70" s="1"/>
  <c r="C6" i="70"/>
  <c r="F5" i="70"/>
  <c r="E5" i="70"/>
  <c r="D5" i="70" s="1"/>
  <c r="C5" i="70"/>
  <c r="F4" i="70"/>
  <c r="E4" i="70"/>
  <c r="D4" i="70" s="1"/>
  <c r="C4" i="70"/>
  <c r="F3" i="70"/>
  <c r="E3" i="70"/>
  <c r="D3" i="70" s="1"/>
  <c r="C3" i="70"/>
  <c r="F2" i="70"/>
  <c r="E2" i="70"/>
  <c r="D2" i="70" s="1"/>
  <c r="C2" i="70"/>
  <c r="B7" i="40" l="1"/>
  <c r="C2" i="38" l="1"/>
  <c r="H2" i="38" s="1"/>
  <c r="C2" i="42"/>
  <c r="H2" i="42" s="1"/>
  <c r="C2" i="46"/>
  <c r="H2" i="46" s="1"/>
  <c r="F2" i="42"/>
  <c r="F2" i="38"/>
  <c r="E10" i="62"/>
  <c r="E9" i="62"/>
  <c r="E8" i="62"/>
  <c r="E7" i="62"/>
  <c r="E6" i="62"/>
  <c r="E5" i="62"/>
  <c r="E4" i="62"/>
  <c r="E3" i="62"/>
  <c r="E2" i="62"/>
  <c r="D10" i="62"/>
  <c r="C10" i="62"/>
  <c r="D9" i="62"/>
  <c r="C9" i="62"/>
  <c r="D8" i="62"/>
  <c r="C8" i="62"/>
  <c r="D7" i="62"/>
  <c r="C7" i="62"/>
  <c r="D6" i="62"/>
  <c r="C6" i="62"/>
  <c r="D5" i="62"/>
  <c r="C5" i="62"/>
  <c r="D4" i="62"/>
  <c r="C4" i="62"/>
  <c r="D3" i="62"/>
  <c r="C3" i="62"/>
  <c r="D2" i="62"/>
  <c r="C2" i="62"/>
  <c r="E13" i="69"/>
  <c r="D13" i="69"/>
  <c r="C13" i="69"/>
  <c r="E12" i="69"/>
  <c r="D12" i="69"/>
  <c r="C12" i="69"/>
  <c r="E11" i="69"/>
  <c r="D11" i="69"/>
  <c r="C11" i="69"/>
  <c r="E10" i="69"/>
  <c r="D10" i="69"/>
  <c r="C10" i="69"/>
  <c r="E9" i="69"/>
  <c r="D9" i="69"/>
  <c r="C9" i="69"/>
  <c r="E8" i="69"/>
  <c r="D8" i="69"/>
  <c r="C8" i="69"/>
  <c r="E7" i="69"/>
  <c r="D7" i="69"/>
  <c r="C7" i="69"/>
  <c r="E6" i="69"/>
  <c r="D6" i="69"/>
  <c r="C6" i="69"/>
  <c r="E5" i="69"/>
  <c r="D5" i="69"/>
  <c r="C5" i="69"/>
  <c r="E4" i="69"/>
  <c r="D4" i="69"/>
  <c r="C4" i="69"/>
  <c r="E3" i="69"/>
  <c r="D3" i="69"/>
  <c r="C3" i="69"/>
  <c r="E2" i="69"/>
  <c r="D2" i="69"/>
  <c r="C2" i="69"/>
  <c r="F2" i="60" l="1"/>
  <c r="F6" i="60"/>
  <c r="F5" i="60"/>
  <c r="F4" i="60"/>
  <c r="F3" i="60"/>
  <c r="F8" i="58"/>
  <c r="F7" i="58"/>
  <c r="F5" i="58"/>
  <c r="F9" i="58"/>
  <c r="F6" i="58"/>
  <c r="F11" i="58"/>
  <c r="F2" i="58"/>
  <c r="F4" i="58"/>
  <c r="F3" i="58"/>
  <c r="F10" i="58"/>
  <c r="F8" i="55"/>
  <c r="F7" i="55"/>
  <c r="F6" i="55"/>
  <c r="F10" i="55"/>
  <c r="F9" i="55"/>
  <c r="F11" i="55"/>
  <c r="F5" i="55"/>
  <c r="F3" i="55"/>
  <c r="F4" i="55"/>
  <c r="F2" i="55"/>
  <c r="I2" i="45"/>
  <c r="H17" i="50"/>
  <c r="H28" i="50"/>
  <c r="H29" i="50"/>
  <c r="H10" i="50"/>
  <c r="H23" i="50"/>
  <c r="H24" i="50"/>
  <c r="H25" i="50"/>
  <c r="H20" i="50"/>
  <c r="H11" i="50"/>
  <c r="H6" i="50"/>
  <c r="H19" i="50"/>
  <c r="H33" i="50"/>
  <c r="H13" i="50"/>
  <c r="H22" i="50"/>
  <c r="H5" i="50"/>
  <c r="H15" i="50"/>
  <c r="H8" i="50"/>
  <c r="H9" i="50"/>
  <c r="H21" i="50"/>
  <c r="H31" i="50"/>
  <c r="H26" i="50"/>
  <c r="H30" i="50"/>
  <c r="H12" i="50"/>
  <c r="H18" i="50"/>
  <c r="H14" i="50"/>
  <c r="H2" i="50"/>
  <c r="H7" i="50"/>
  <c r="H4" i="50"/>
  <c r="H27" i="50"/>
  <c r="H16" i="50"/>
  <c r="H3" i="50"/>
  <c r="H32" i="50"/>
  <c r="H2" i="45"/>
  <c r="E2" i="60"/>
  <c r="D2" i="60" s="1"/>
  <c r="E6" i="60"/>
  <c r="D6" i="60" s="1"/>
  <c r="E5" i="60"/>
  <c r="D5" i="60" s="1"/>
  <c r="E4" i="60"/>
  <c r="D4" i="60" s="1"/>
  <c r="E3" i="60"/>
  <c r="D3" i="60" s="1"/>
  <c r="E9" i="58"/>
  <c r="D9" i="58" s="1"/>
  <c r="E5" i="58"/>
  <c r="D5" i="58" s="1"/>
  <c r="E7" i="58"/>
  <c r="D7" i="58" s="1"/>
  <c r="E8" i="58"/>
  <c r="D8" i="58" s="1"/>
  <c r="E6" i="58"/>
  <c r="D6" i="58" s="1"/>
  <c r="E11" i="58"/>
  <c r="D11" i="58" s="1"/>
  <c r="E4" i="58"/>
  <c r="D4" i="58" s="1"/>
  <c r="D3" i="58"/>
  <c r="E10" i="58"/>
  <c r="D10" i="58" s="1"/>
  <c r="D2" i="55"/>
  <c r="E4" i="55"/>
  <c r="D4" i="55" s="1"/>
  <c r="E5" i="55"/>
  <c r="D5" i="55" s="1"/>
  <c r="E11" i="55"/>
  <c r="D11" i="55" s="1"/>
  <c r="E9" i="55"/>
  <c r="D9" i="55" s="1"/>
  <c r="E10" i="55"/>
  <c r="D10" i="55" s="1"/>
  <c r="E6" i="55"/>
  <c r="D6" i="55" s="1"/>
  <c r="E7" i="55"/>
  <c r="D7" i="55" s="1"/>
  <c r="E8" i="55"/>
  <c r="D8" i="55" s="1"/>
  <c r="C9" i="53" l="1"/>
  <c r="L3" i="67" l="1"/>
  <c r="L4" i="67"/>
  <c r="L5" i="67"/>
  <c r="L6" i="67"/>
  <c r="L7" i="67"/>
  <c r="L8" i="67"/>
  <c r="L9" i="67"/>
  <c r="L10" i="67"/>
  <c r="L11" i="67"/>
  <c r="L12" i="67"/>
  <c r="L13" i="67"/>
  <c r="L14" i="67"/>
  <c r="L15" i="67"/>
  <c r="L16" i="67"/>
  <c r="L17" i="67"/>
  <c r="L18" i="67"/>
  <c r="L19" i="67"/>
  <c r="L20" i="67"/>
  <c r="L21" i="67"/>
  <c r="L22" i="67"/>
  <c r="L23" i="67"/>
  <c r="L24" i="67"/>
  <c r="L25" i="67"/>
  <c r="L26" i="67"/>
  <c r="L27" i="67"/>
  <c r="L28" i="67"/>
  <c r="L29" i="67"/>
  <c r="L30" i="67"/>
  <c r="L31" i="67"/>
  <c r="L32" i="67"/>
  <c r="L33" i="67"/>
  <c r="L34" i="67"/>
  <c r="L35" i="67"/>
  <c r="L36" i="67"/>
  <c r="L37" i="67"/>
  <c r="L38" i="67"/>
  <c r="L39" i="67"/>
  <c r="L40" i="67"/>
  <c r="L41" i="67"/>
  <c r="L42" i="67"/>
  <c r="L43" i="67"/>
  <c r="L44" i="67"/>
  <c r="L45" i="67"/>
  <c r="L46" i="67"/>
  <c r="L47" i="67"/>
  <c r="L48" i="67"/>
  <c r="L49" i="67"/>
  <c r="L50" i="67"/>
  <c r="L51" i="67"/>
  <c r="L52" i="67"/>
  <c r="L53" i="67"/>
  <c r="L54" i="67"/>
  <c r="L55" i="67"/>
  <c r="L56" i="67"/>
  <c r="L57" i="67"/>
  <c r="L58" i="67"/>
  <c r="L59" i="67"/>
  <c r="L60" i="67"/>
  <c r="L61" i="67"/>
  <c r="L62" i="67"/>
  <c r="L63" i="67"/>
  <c r="L64" i="67"/>
  <c r="L65" i="67"/>
  <c r="L66" i="67"/>
  <c r="L67" i="67"/>
  <c r="L68" i="67"/>
  <c r="L69" i="67"/>
  <c r="L70" i="67"/>
  <c r="L71" i="67"/>
  <c r="L72" i="67"/>
  <c r="L73" i="67"/>
  <c r="L74" i="67"/>
  <c r="L75" i="67"/>
  <c r="L76" i="67"/>
  <c r="L77" i="67"/>
  <c r="L78" i="67"/>
  <c r="L79" i="67"/>
  <c r="L80" i="67"/>
  <c r="L81" i="67"/>
  <c r="L82" i="67"/>
  <c r="L83" i="67"/>
  <c r="L84" i="67"/>
  <c r="L85" i="67"/>
  <c r="L86" i="67"/>
  <c r="L87" i="67"/>
  <c r="L88" i="67"/>
  <c r="L89" i="67"/>
  <c r="L90" i="67"/>
  <c r="L91" i="67"/>
  <c r="L92" i="67"/>
  <c r="L93" i="67"/>
  <c r="L94" i="67"/>
  <c r="L95" i="67"/>
  <c r="L96" i="67"/>
  <c r="L97" i="67"/>
  <c r="L98" i="67"/>
  <c r="L99" i="67"/>
  <c r="L100" i="67"/>
  <c r="L2" i="67"/>
  <c r="K3" i="67"/>
  <c r="K4" i="67"/>
  <c r="K5" i="67"/>
  <c r="K6" i="67"/>
  <c r="K7" i="67"/>
  <c r="K8" i="67"/>
  <c r="K9" i="67"/>
  <c r="K10" i="67"/>
  <c r="K11" i="67"/>
  <c r="K12" i="67"/>
  <c r="K13" i="67"/>
  <c r="K14" i="67"/>
  <c r="K15" i="67"/>
  <c r="K16" i="67"/>
  <c r="K17" i="67"/>
  <c r="K18" i="67"/>
  <c r="K19" i="67"/>
  <c r="K20" i="67"/>
  <c r="K21" i="67"/>
  <c r="K22" i="67"/>
  <c r="K23" i="67"/>
  <c r="K24" i="67"/>
  <c r="K25" i="67"/>
  <c r="K26" i="67"/>
  <c r="K27" i="67"/>
  <c r="K28" i="67"/>
  <c r="K29" i="67"/>
  <c r="K30" i="67"/>
  <c r="K31" i="67"/>
  <c r="K32" i="67"/>
  <c r="K33" i="67"/>
  <c r="K34" i="67"/>
  <c r="K35" i="67"/>
  <c r="K36" i="67"/>
  <c r="K37" i="67"/>
  <c r="K38" i="67"/>
  <c r="K39" i="67"/>
  <c r="K40" i="67"/>
  <c r="K41" i="67"/>
  <c r="K42" i="67"/>
  <c r="K43" i="67"/>
  <c r="K44" i="67"/>
  <c r="K45" i="67"/>
  <c r="K46" i="67"/>
  <c r="K47" i="67"/>
  <c r="K48" i="67"/>
  <c r="K49" i="67"/>
  <c r="K50" i="67"/>
  <c r="K51" i="67"/>
  <c r="K52" i="67"/>
  <c r="K53" i="67"/>
  <c r="K54" i="67"/>
  <c r="K55" i="67"/>
  <c r="K56" i="67"/>
  <c r="K57" i="67"/>
  <c r="K58" i="67"/>
  <c r="K59" i="67"/>
  <c r="K60" i="67"/>
  <c r="K61" i="67"/>
  <c r="K62" i="67"/>
  <c r="K63" i="67"/>
  <c r="K64" i="67"/>
  <c r="K65" i="67"/>
  <c r="K66" i="67"/>
  <c r="K67" i="67"/>
  <c r="K68" i="67"/>
  <c r="K69" i="67"/>
  <c r="K70" i="67"/>
  <c r="K71" i="67"/>
  <c r="K72" i="67"/>
  <c r="K73" i="67"/>
  <c r="K74" i="67"/>
  <c r="K75" i="67"/>
  <c r="K76" i="67"/>
  <c r="K77" i="67"/>
  <c r="K78" i="67"/>
  <c r="K79" i="67"/>
  <c r="K80" i="67"/>
  <c r="K81" i="67"/>
  <c r="K82" i="67"/>
  <c r="K83" i="67"/>
  <c r="K84" i="67"/>
  <c r="K85" i="67"/>
  <c r="K86" i="67"/>
  <c r="K87" i="67"/>
  <c r="K88" i="67"/>
  <c r="K89" i="67"/>
  <c r="K90" i="67"/>
  <c r="K91" i="67"/>
  <c r="K92" i="67"/>
  <c r="K93" i="67"/>
  <c r="K94" i="67"/>
  <c r="K95" i="67"/>
  <c r="K96" i="67"/>
  <c r="K97" i="67"/>
  <c r="K98" i="67"/>
  <c r="K99" i="67"/>
  <c r="K100" i="67"/>
  <c r="K2" i="67"/>
  <c r="J3" i="67"/>
  <c r="J4" i="67"/>
  <c r="J5" i="67"/>
  <c r="J6" i="67"/>
  <c r="J7" i="67"/>
  <c r="J8" i="67"/>
  <c r="J9" i="67"/>
  <c r="J10" i="67"/>
  <c r="J11" i="67"/>
  <c r="J12" i="67"/>
  <c r="J13" i="67"/>
  <c r="J14" i="67"/>
  <c r="J15" i="67"/>
  <c r="J16" i="67"/>
  <c r="J17" i="67"/>
  <c r="J18" i="67"/>
  <c r="J19" i="67"/>
  <c r="J20" i="67"/>
  <c r="J21" i="67"/>
  <c r="J22" i="67"/>
  <c r="J23" i="67"/>
  <c r="J24" i="67"/>
  <c r="J25" i="67"/>
  <c r="J26" i="67"/>
  <c r="J27" i="67"/>
  <c r="J28" i="67"/>
  <c r="J29" i="67"/>
  <c r="J30" i="67"/>
  <c r="J31" i="67"/>
  <c r="J32" i="67"/>
  <c r="J33" i="67"/>
  <c r="J34" i="67"/>
  <c r="J35" i="67"/>
  <c r="J36" i="67"/>
  <c r="J37" i="67"/>
  <c r="J38" i="67"/>
  <c r="J39" i="67"/>
  <c r="J40" i="67"/>
  <c r="J41" i="67"/>
  <c r="J42" i="67"/>
  <c r="J43" i="67"/>
  <c r="J44" i="67"/>
  <c r="J45" i="67"/>
  <c r="J46" i="67"/>
  <c r="J47" i="67"/>
  <c r="J48" i="67"/>
  <c r="J49" i="67"/>
  <c r="J50" i="67"/>
  <c r="J51" i="67"/>
  <c r="J52" i="67"/>
  <c r="J53" i="67"/>
  <c r="J54" i="67"/>
  <c r="J55" i="67"/>
  <c r="J56" i="67"/>
  <c r="J57" i="67"/>
  <c r="J58" i="67"/>
  <c r="J59" i="67"/>
  <c r="J60" i="67"/>
  <c r="J61" i="67"/>
  <c r="J62" i="67"/>
  <c r="J63" i="67"/>
  <c r="J64" i="67"/>
  <c r="J65" i="67"/>
  <c r="J66" i="67"/>
  <c r="J67" i="67"/>
  <c r="J68" i="67"/>
  <c r="J69" i="67"/>
  <c r="J70" i="67"/>
  <c r="J71" i="67"/>
  <c r="J72" i="67"/>
  <c r="J73" i="67"/>
  <c r="J74" i="67"/>
  <c r="J75" i="67"/>
  <c r="J76" i="67"/>
  <c r="J77" i="67"/>
  <c r="J78" i="67"/>
  <c r="J79" i="67"/>
  <c r="J80" i="67"/>
  <c r="J81" i="67"/>
  <c r="J82" i="67"/>
  <c r="J83" i="67"/>
  <c r="J84" i="67"/>
  <c r="J85" i="67"/>
  <c r="J86" i="67"/>
  <c r="J87" i="67"/>
  <c r="J88" i="67"/>
  <c r="J89" i="67"/>
  <c r="J90" i="67"/>
  <c r="J91" i="67"/>
  <c r="J92" i="67"/>
  <c r="J93" i="67"/>
  <c r="J94" i="67"/>
  <c r="J95" i="67"/>
  <c r="J96" i="67"/>
  <c r="J97" i="67"/>
  <c r="J98" i="67"/>
  <c r="J99" i="67"/>
  <c r="J100" i="67"/>
  <c r="J2" i="67"/>
  <c r="I3" i="67"/>
  <c r="I4" i="67"/>
  <c r="I5" i="67"/>
  <c r="I6" i="67"/>
  <c r="I7" i="67"/>
  <c r="I8" i="67"/>
  <c r="I9" i="67"/>
  <c r="I10" i="67"/>
  <c r="I11" i="67"/>
  <c r="I12" i="67"/>
  <c r="I13" i="67"/>
  <c r="I14" i="67"/>
  <c r="I15" i="67"/>
  <c r="I16" i="67"/>
  <c r="I17" i="67"/>
  <c r="I18" i="67"/>
  <c r="I19" i="67"/>
  <c r="I20" i="67"/>
  <c r="I21" i="67"/>
  <c r="I22" i="67"/>
  <c r="I23" i="67"/>
  <c r="I24" i="67"/>
  <c r="I25" i="67"/>
  <c r="I26" i="67"/>
  <c r="I27" i="67"/>
  <c r="I28" i="67"/>
  <c r="I29" i="67"/>
  <c r="I30" i="67"/>
  <c r="I31" i="67"/>
  <c r="I32" i="67"/>
  <c r="I33" i="67"/>
  <c r="I34" i="67"/>
  <c r="I35" i="67"/>
  <c r="I36" i="67"/>
  <c r="I37" i="67"/>
  <c r="I38" i="67"/>
  <c r="I39" i="67"/>
  <c r="I40" i="67"/>
  <c r="I41" i="67"/>
  <c r="I42" i="67"/>
  <c r="I43" i="67"/>
  <c r="I44" i="67"/>
  <c r="I45" i="67"/>
  <c r="I46" i="67"/>
  <c r="I47" i="67"/>
  <c r="I48" i="67"/>
  <c r="I49" i="67"/>
  <c r="I50" i="67"/>
  <c r="I51" i="67"/>
  <c r="I52" i="67"/>
  <c r="I53" i="67"/>
  <c r="I54" i="67"/>
  <c r="I55" i="67"/>
  <c r="I56" i="67"/>
  <c r="I57" i="67"/>
  <c r="I58" i="67"/>
  <c r="I59" i="67"/>
  <c r="I60" i="67"/>
  <c r="I61" i="67"/>
  <c r="I62" i="67"/>
  <c r="I63" i="67"/>
  <c r="I64" i="67"/>
  <c r="I65" i="67"/>
  <c r="I66" i="67"/>
  <c r="I67" i="67"/>
  <c r="I68" i="67"/>
  <c r="I69" i="67"/>
  <c r="I70" i="67"/>
  <c r="I71" i="67"/>
  <c r="I72" i="67"/>
  <c r="I73" i="67"/>
  <c r="I74" i="67"/>
  <c r="I75" i="67"/>
  <c r="I76" i="67"/>
  <c r="I77" i="67"/>
  <c r="I78" i="67"/>
  <c r="I79" i="67"/>
  <c r="I80" i="67"/>
  <c r="I81" i="67"/>
  <c r="I82" i="67"/>
  <c r="I83" i="67"/>
  <c r="I84" i="67"/>
  <c r="I85" i="67"/>
  <c r="I86" i="67"/>
  <c r="I87" i="67"/>
  <c r="I88" i="67"/>
  <c r="I89" i="67"/>
  <c r="I90" i="67"/>
  <c r="I91" i="67"/>
  <c r="I92" i="67"/>
  <c r="I93" i="67"/>
  <c r="I94" i="67"/>
  <c r="I95" i="67"/>
  <c r="I96" i="67"/>
  <c r="I97" i="67"/>
  <c r="I98" i="67"/>
  <c r="I99" i="67"/>
  <c r="I100" i="67"/>
  <c r="I2" i="67"/>
  <c r="M100" i="67"/>
  <c r="H100" i="67"/>
  <c r="E100" i="67"/>
  <c r="D100" i="67"/>
  <c r="C100" i="67"/>
  <c r="G100" i="67" s="1"/>
  <c r="E17" i="50" l="1"/>
  <c r="E28" i="50"/>
  <c r="E29" i="50"/>
  <c r="E10" i="50"/>
  <c r="E23" i="50"/>
  <c r="E24" i="50"/>
  <c r="E25" i="50"/>
  <c r="E20" i="50"/>
  <c r="E11" i="50"/>
  <c r="E6" i="50"/>
  <c r="E19" i="50"/>
  <c r="E33" i="50"/>
  <c r="E13" i="50"/>
  <c r="E22" i="50"/>
  <c r="E5" i="50"/>
  <c r="E15" i="50"/>
  <c r="E8" i="50"/>
  <c r="E9" i="50"/>
  <c r="E21" i="50"/>
  <c r="E31" i="50"/>
  <c r="E26" i="50"/>
  <c r="E30" i="50"/>
  <c r="E12" i="50"/>
  <c r="E18" i="50"/>
  <c r="E14" i="50"/>
  <c r="E2" i="50"/>
  <c r="E7" i="50"/>
  <c r="E4" i="50"/>
  <c r="E27" i="50"/>
  <c r="E16" i="50"/>
  <c r="E3" i="50"/>
  <c r="E32" i="50"/>
  <c r="D22" i="45"/>
  <c r="D23" i="45"/>
  <c r="D17" i="45"/>
  <c r="D10" i="45"/>
  <c r="D18" i="45"/>
  <c r="D4" i="45"/>
  <c r="D3" i="45"/>
  <c r="D2" i="45"/>
  <c r="D21" i="45"/>
  <c r="D13" i="45"/>
  <c r="D16" i="45"/>
  <c r="D11" i="45"/>
  <c r="D12" i="45"/>
  <c r="D26" i="45"/>
  <c r="D6" i="45"/>
  <c r="D9" i="45"/>
  <c r="D5" i="45"/>
  <c r="D14" i="45"/>
  <c r="D27" i="45"/>
  <c r="D7" i="45"/>
  <c r="D8" i="45"/>
  <c r="D15" i="45"/>
  <c r="D19" i="45"/>
  <c r="D20" i="45"/>
  <c r="D24" i="45"/>
  <c r="D25" i="45"/>
  <c r="D14" i="41"/>
  <c r="D15" i="41"/>
  <c r="D8" i="41"/>
  <c r="D7" i="41"/>
  <c r="D6" i="41"/>
  <c r="D9" i="41"/>
  <c r="D11" i="41"/>
  <c r="D10" i="41"/>
  <c r="D5" i="41"/>
  <c r="D13" i="41"/>
  <c r="D2" i="41"/>
  <c r="D3" i="41"/>
  <c r="D4" i="41"/>
  <c r="D12" i="41"/>
  <c r="H25" i="45"/>
  <c r="H24" i="45"/>
  <c r="H20" i="45"/>
  <c r="H19" i="45"/>
  <c r="H15" i="45"/>
  <c r="H8" i="45"/>
  <c r="H7" i="45"/>
  <c r="H27" i="45"/>
  <c r="H14" i="45"/>
  <c r="H5" i="45"/>
  <c r="H9" i="45"/>
  <c r="H6" i="45"/>
  <c r="H26" i="45"/>
  <c r="H12" i="45"/>
  <c r="H11" i="45"/>
  <c r="H16" i="45"/>
  <c r="H13" i="45"/>
  <c r="H21" i="45"/>
  <c r="H3" i="45"/>
  <c r="H4" i="45"/>
  <c r="H18" i="45"/>
  <c r="H10" i="45"/>
  <c r="H17" i="45"/>
  <c r="H23" i="45"/>
  <c r="H22" i="45"/>
  <c r="H15" i="41"/>
  <c r="H8" i="41"/>
  <c r="H7" i="41"/>
  <c r="H6" i="41"/>
  <c r="H9" i="41"/>
  <c r="H11" i="41"/>
  <c r="H10" i="41"/>
  <c r="H5" i="41"/>
  <c r="H13" i="41"/>
  <c r="H3" i="41"/>
  <c r="H4" i="41"/>
  <c r="H12" i="41"/>
  <c r="H14" i="41"/>
  <c r="D9" i="49" l="1"/>
  <c r="D8" i="49"/>
  <c r="D5" i="49"/>
  <c r="D4" i="49"/>
  <c r="D3" i="49"/>
  <c r="D2" i="49"/>
  <c r="C2" i="44"/>
  <c r="D2" i="44" s="1"/>
  <c r="H96" i="67" l="1"/>
  <c r="M95" i="67"/>
  <c r="H89" i="67"/>
  <c r="H88" i="67"/>
  <c r="H87" i="67"/>
  <c r="E87" i="67"/>
  <c r="M86" i="67"/>
  <c r="E84" i="67"/>
  <c r="E83" i="67"/>
  <c r="D83" i="67"/>
  <c r="M82" i="67"/>
  <c r="E81" i="67"/>
  <c r="D80" i="67"/>
  <c r="C80" i="67"/>
  <c r="H80" i="67"/>
  <c r="H79" i="67"/>
  <c r="M78" i="67"/>
  <c r="D77" i="67"/>
  <c r="M76" i="67"/>
  <c r="H75" i="67"/>
  <c r="D75" i="67"/>
  <c r="C75" i="67"/>
  <c r="G75" i="67" s="1"/>
  <c r="D73" i="67"/>
  <c r="M72" i="67"/>
  <c r="E68" i="67"/>
  <c r="M66" i="67"/>
  <c r="M64" i="67"/>
  <c r="H64" i="67"/>
  <c r="D62" i="67"/>
  <c r="E60" i="67"/>
  <c r="D60" i="67"/>
  <c r="H60" i="67"/>
  <c r="H59" i="67"/>
  <c r="D57" i="67"/>
  <c r="D56" i="67"/>
  <c r="M54" i="67"/>
  <c r="M53" i="67"/>
  <c r="H50" i="67"/>
  <c r="D49" i="67"/>
  <c r="M48" i="67"/>
  <c r="H47" i="67"/>
  <c r="M45" i="67"/>
  <c r="M46" i="67"/>
  <c r="C44" i="67"/>
  <c r="G44" i="67" s="1"/>
  <c r="E41" i="67"/>
  <c r="E39" i="67"/>
  <c r="E38" i="67"/>
  <c r="H37" i="67"/>
  <c r="M36" i="67"/>
  <c r="C36" i="67"/>
  <c r="G36" i="67" s="1"/>
  <c r="E35" i="67"/>
  <c r="C31" i="67"/>
  <c r="E29" i="67"/>
  <c r="H29" i="67"/>
  <c r="E27" i="67"/>
  <c r="E26" i="67"/>
  <c r="M22" i="67"/>
  <c r="H20" i="67"/>
  <c r="M19" i="67"/>
  <c r="E18" i="67"/>
  <c r="M17" i="67"/>
  <c r="D14" i="67"/>
  <c r="E15" i="67"/>
  <c r="H12" i="67"/>
  <c r="D11" i="67"/>
  <c r="M9" i="67"/>
  <c r="H8" i="67"/>
  <c r="M5" i="67"/>
  <c r="D6" i="67"/>
  <c r="C98" i="67" l="1"/>
  <c r="G98" i="67" s="1"/>
  <c r="E66" i="67"/>
  <c r="H11" i="67"/>
  <c r="H15" i="67"/>
  <c r="D98" i="67"/>
  <c r="C60" i="67"/>
  <c r="G60" i="67" s="1"/>
  <c r="E75" i="67"/>
  <c r="E95" i="67"/>
  <c r="H98" i="67"/>
  <c r="E12" i="67"/>
  <c r="M98" i="67"/>
  <c r="H72" i="67"/>
  <c r="E79" i="67"/>
  <c r="E62" i="67"/>
  <c r="E16" i="67"/>
  <c r="D92" i="67"/>
  <c r="C62" i="67"/>
  <c r="G62" i="67" s="1"/>
  <c r="C16" i="67"/>
  <c r="G16" i="67" s="1"/>
  <c r="H62" i="67"/>
  <c r="D36" i="67"/>
  <c r="E46" i="67"/>
  <c r="M62" i="67"/>
  <c r="D64" i="67"/>
  <c r="D4" i="67"/>
  <c r="C24" i="67"/>
  <c r="G24" i="67" s="1"/>
  <c r="E40" i="67"/>
  <c r="D42" i="67"/>
  <c r="M16" i="67"/>
  <c r="M25" i="67"/>
  <c r="D29" i="67"/>
  <c r="H36" i="67"/>
  <c r="H38" i="67"/>
  <c r="H42" i="67"/>
  <c r="C66" i="67"/>
  <c r="G66" i="67" s="1"/>
  <c r="C68" i="67"/>
  <c r="G68" i="67" s="1"/>
  <c r="C72" i="67"/>
  <c r="G72" i="67" s="1"/>
  <c r="H81" i="67"/>
  <c r="M90" i="67"/>
  <c r="C39" i="67"/>
  <c r="G39" i="67" s="1"/>
  <c r="C50" i="67"/>
  <c r="G50" i="67" s="1"/>
  <c r="D78" i="67"/>
  <c r="D82" i="67"/>
  <c r="D91" i="67"/>
  <c r="E96" i="67"/>
  <c r="E4" i="67"/>
  <c r="C18" i="67"/>
  <c r="G18" i="67" s="1"/>
  <c r="D37" i="67"/>
  <c r="D41" i="67"/>
  <c r="E43" i="67"/>
  <c r="D50" i="67"/>
  <c r="M63" i="67"/>
  <c r="H78" i="67"/>
  <c r="H85" i="67"/>
  <c r="H91" i="67"/>
  <c r="H4" i="67"/>
  <c r="M39" i="67"/>
  <c r="H43" i="67"/>
  <c r="H76" i="67"/>
  <c r="H18" i="67"/>
  <c r="C15" i="67"/>
  <c r="G15" i="67" s="1"/>
  <c r="D25" i="67"/>
  <c r="C40" i="67"/>
  <c r="G40" i="67" s="1"/>
  <c r="C48" i="67"/>
  <c r="G48" i="67" s="1"/>
  <c r="M50" i="67"/>
  <c r="C81" i="67"/>
  <c r="G81" i="67" s="1"/>
  <c r="E90" i="67"/>
  <c r="C2" i="67"/>
  <c r="G2" i="67" s="1"/>
  <c r="C8" i="67"/>
  <c r="G8" i="67" s="1"/>
  <c r="D15" i="67"/>
  <c r="M61" i="67"/>
  <c r="C52" i="67"/>
  <c r="G52" i="67" s="1"/>
  <c r="M52" i="67"/>
  <c r="E52" i="67"/>
  <c r="D52" i="67"/>
  <c r="E3" i="67"/>
  <c r="D3" i="67"/>
  <c r="E13" i="67"/>
  <c r="D13" i="67"/>
  <c r="C34" i="67"/>
  <c r="G34" i="67" s="1"/>
  <c r="M34" i="67"/>
  <c r="H34" i="67"/>
  <c r="D34" i="67"/>
  <c r="H52" i="67"/>
  <c r="H21" i="67"/>
  <c r="E21" i="67"/>
  <c r="D21" i="67"/>
  <c r="C21" i="67"/>
  <c r="G21" i="67" s="1"/>
  <c r="H69" i="67"/>
  <c r="D33" i="67"/>
  <c r="E33" i="67"/>
  <c r="H33" i="67"/>
  <c r="D7" i="67"/>
  <c r="M7" i="67"/>
  <c r="H6" i="67"/>
  <c r="C6" i="67"/>
  <c r="G6" i="67" s="1"/>
  <c r="E6" i="67"/>
  <c r="E58" i="67"/>
  <c r="C58" i="67"/>
  <c r="G58" i="67" s="1"/>
  <c r="M58" i="67"/>
  <c r="H58" i="67"/>
  <c r="E10" i="67"/>
  <c r="C10" i="67"/>
  <c r="G10" i="67" s="1"/>
  <c r="H10" i="67"/>
  <c r="M59" i="67"/>
  <c r="E20" i="67"/>
  <c r="C20" i="67"/>
  <c r="G20" i="67" s="1"/>
  <c r="E49" i="67"/>
  <c r="C49" i="67"/>
  <c r="G49" i="67" s="1"/>
  <c r="H49" i="67"/>
  <c r="M49" i="67"/>
  <c r="D10" i="67"/>
  <c r="D26" i="67"/>
  <c r="H26" i="67"/>
  <c r="D27" i="67"/>
  <c r="C71" i="67"/>
  <c r="G71" i="67" s="1"/>
  <c r="C88" i="67"/>
  <c r="G88" i="67" s="1"/>
  <c r="E91" i="67"/>
  <c r="H24" i="67"/>
  <c r="E98" i="67"/>
  <c r="E36" i="67"/>
  <c r="H40" i="67"/>
  <c r="M42" i="67"/>
  <c r="C46" i="67"/>
  <c r="G46" i="67" s="1"/>
  <c r="H45" i="67"/>
  <c r="E54" i="67"/>
  <c r="E67" i="67"/>
  <c r="H68" i="67"/>
  <c r="D71" i="67"/>
  <c r="M81" i="67"/>
  <c r="H83" i="67"/>
  <c r="C87" i="67"/>
  <c r="G87" i="67" s="1"/>
  <c r="H92" i="67"/>
  <c r="C95" i="67"/>
  <c r="G95" i="67" s="1"/>
  <c r="D99" i="67"/>
  <c r="D54" i="67"/>
  <c r="C99" i="67"/>
  <c r="G99" i="67" s="1"/>
  <c r="C12" i="67"/>
  <c r="G12" i="67" s="1"/>
  <c r="M40" i="67"/>
  <c r="D46" i="67"/>
  <c r="D61" i="67"/>
  <c r="C76" i="67"/>
  <c r="G76" i="67" s="1"/>
  <c r="D79" i="67"/>
  <c r="D87" i="67"/>
  <c r="M92" i="67"/>
  <c r="D95" i="67"/>
  <c r="E99" i="67"/>
  <c r="C86" i="67"/>
  <c r="G86" i="67" s="1"/>
  <c r="M88" i="67"/>
  <c r="M91" i="67"/>
  <c r="D93" i="67"/>
  <c r="H99" i="67"/>
  <c r="E93" i="67"/>
  <c r="M99" i="67"/>
  <c r="D40" i="67"/>
  <c r="H46" i="67"/>
  <c r="E64" i="67"/>
  <c r="D68" i="67"/>
  <c r="M87" i="67"/>
  <c r="D89" i="67"/>
  <c r="C91" i="67"/>
  <c r="G91" i="67" s="1"/>
  <c r="C92" i="67"/>
  <c r="G92" i="67" s="1"/>
  <c r="H93" i="67"/>
  <c r="H95" i="67"/>
  <c r="D96" i="67"/>
  <c r="D51" i="67"/>
  <c r="H51" i="67"/>
  <c r="E51" i="67"/>
  <c r="C51" i="67"/>
  <c r="G51" i="67" s="1"/>
  <c r="M23" i="67"/>
  <c r="C23" i="67"/>
  <c r="G23" i="67" s="1"/>
  <c r="D23" i="67"/>
  <c r="H23" i="67"/>
  <c r="M51" i="67"/>
  <c r="E5" i="67"/>
  <c r="D9" i="67"/>
  <c r="C9" i="67"/>
  <c r="G9" i="67" s="1"/>
  <c r="E9" i="67"/>
  <c r="E17" i="67"/>
  <c r="C17" i="67"/>
  <c r="G17" i="67" s="1"/>
  <c r="H17" i="67"/>
  <c r="E23" i="67"/>
  <c r="M14" i="67"/>
  <c r="C14" i="67"/>
  <c r="G14" i="67" s="1"/>
  <c r="E14" i="67"/>
  <c r="H14" i="67"/>
  <c r="D17" i="67"/>
  <c r="E32" i="67"/>
  <c r="H32" i="67"/>
  <c r="D32" i="67"/>
  <c r="M32" i="67"/>
  <c r="E28" i="67"/>
  <c r="D28" i="67"/>
  <c r="C28" i="67"/>
  <c r="G28" i="67" s="1"/>
  <c r="H28" i="67"/>
  <c r="H70" i="67"/>
  <c r="C70" i="67"/>
  <c r="G70" i="67" s="1"/>
  <c r="E70" i="67"/>
  <c r="D70" i="67"/>
  <c r="M70" i="67"/>
  <c r="D5" i="67"/>
  <c r="H5" i="67"/>
  <c r="D31" i="67"/>
  <c r="H31" i="67"/>
  <c r="G31" i="67"/>
  <c r="E31" i="67"/>
  <c r="M31" i="67"/>
  <c r="E53" i="67"/>
  <c r="D53" i="67"/>
  <c r="C53" i="67"/>
  <c r="G53" i="67" s="1"/>
  <c r="H53" i="67"/>
  <c r="M65" i="67"/>
  <c r="C65" i="67"/>
  <c r="G65" i="67" s="1"/>
  <c r="E65" i="67"/>
  <c r="D65" i="67"/>
  <c r="H65" i="67"/>
  <c r="H73" i="67"/>
  <c r="C73" i="67"/>
  <c r="G73" i="67" s="1"/>
  <c r="M73" i="67"/>
  <c r="E73" i="67"/>
  <c r="E7" i="67"/>
  <c r="C7" i="67"/>
  <c r="G7" i="67" s="1"/>
  <c r="H7" i="67"/>
  <c r="H9" i="67"/>
  <c r="H25" i="67"/>
  <c r="E25" i="67"/>
  <c r="C25" i="67"/>
  <c r="G25" i="67" s="1"/>
  <c r="C32" i="67"/>
  <c r="G32" i="67" s="1"/>
  <c r="M28" i="67"/>
  <c r="E22" i="67"/>
  <c r="D22" i="67"/>
  <c r="H22" i="67"/>
  <c r="M56" i="67"/>
  <c r="C56" i="67"/>
  <c r="G56" i="67" s="1"/>
  <c r="H56" i="67"/>
  <c r="E56" i="67"/>
  <c r="H77" i="67"/>
  <c r="E77" i="67"/>
  <c r="C77" i="67"/>
  <c r="G77" i="67" s="1"/>
  <c r="M77" i="67"/>
  <c r="C5" i="67"/>
  <c r="G5" i="67" s="1"/>
  <c r="M30" i="67"/>
  <c r="C30" i="67"/>
  <c r="G30" i="67" s="1"/>
  <c r="E30" i="67"/>
  <c r="D30" i="67"/>
  <c r="H30" i="67"/>
  <c r="H16" i="67"/>
  <c r="D16" i="67"/>
  <c r="H19" i="67"/>
  <c r="D19" i="67"/>
  <c r="C19" i="67"/>
  <c r="G19" i="67" s="1"/>
  <c r="E19" i="67"/>
  <c r="C22" i="67"/>
  <c r="G22" i="67" s="1"/>
  <c r="E55" i="67"/>
  <c r="D55" i="67"/>
  <c r="C55" i="67"/>
  <c r="G55" i="67" s="1"/>
  <c r="M55" i="67"/>
  <c r="H55" i="67"/>
  <c r="M3" i="67"/>
  <c r="M13" i="67"/>
  <c r="M27" i="67"/>
  <c r="D35" i="67"/>
  <c r="H35" i="67"/>
  <c r="E37" i="67"/>
  <c r="M38" i="67"/>
  <c r="C38" i="67"/>
  <c r="G38" i="67" s="1"/>
  <c r="H57" i="67"/>
  <c r="E57" i="67"/>
  <c r="C67" i="67"/>
  <c r="G67" i="67" s="1"/>
  <c r="H67" i="67"/>
  <c r="E85" i="67"/>
  <c r="M85" i="67"/>
  <c r="C85" i="67"/>
  <c r="G85" i="67" s="1"/>
  <c r="C3" i="67"/>
  <c r="G3" i="67" s="1"/>
  <c r="M4" i="67"/>
  <c r="C4" i="67"/>
  <c r="G4" i="67" s="1"/>
  <c r="M6" i="67"/>
  <c r="E11" i="67"/>
  <c r="D12" i="67"/>
  <c r="C13" i="67"/>
  <c r="G13" i="67" s="1"/>
  <c r="M15" i="67"/>
  <c r="D20" i="67"/>
  <c r="M21" i="67"/>
  <c r="C27" i="67"/>
  <c r="G27" i="67" s="1"/>
  <c r="M29" i="67"/>
  <c r="C29" i="67"/>
  <c r="G29" i="67" s="1"/>
  <c r="E34" i="67"/>
  <c r="M33" i="67"/>
  <c r="C33" i="67"/>
  <c r="G33" i="67" s="1"/>
  <c r="C35" i="67"/>
  <c r="G35" i="67" s="1"/>
  <c r="C37" i="67"/>
  <c r="G37" i="67" s="1"/>
  <c r="D38" i="67"/>
  <c r="H54" i="67"/>
  <c r="C54" i="67"/>
  <c r="G54" i="67" s="1"/>
  <c r="C57" i="67"/>
  <c r="G57" i="67" s="1"/>
  <c r="H66" i="67"/>
  <c r="D66" i="67"/>
  <c r="D67" i="67"/>
  <c r="D81" i="67"/>
  <c r="D85" i="67"/>
  <c r="M8" i="67"/>
  <c r="M18" i="67"/>
  <c r="M24" i="67"/>
  <c r="M44" i="67"/>
  <c r="D48" i="67"/>
  <c r="H48" i="67"/>
  <c r="E50" i="67"/>
  <c r="E61" i="67"/>
  <c r="C61" i="67"/>
  <c r="G61" i="67" s="1"/>
  <c r="H61" i="67"/>
  <c r="C64" i="67"/>
  <c r="G64" i="67" s="1"/>
  <c r="D84" i="67"/>
  <c r="H84" i="67"/>
  <c r="M84" i="67"/>
  <c r="C84" i="67"/>
  <c r="G84" i="67" s="1"/>
  <c r="E45" i="67"/>
  <c r="M47" i="67"/>
  <c r="C47" i="67"/>
  <c r="G47" i="67" s="1"/>
  <c r="H63" i="67"/>
  <c r="D63" i="67"/>
  <c r="M74" i="67"/>
  <c r="C74" i="67"/>
  <c r="G74" i="67" s="1"/>
  <c r="H74" i="67"/>
  <c r="D74" i="67"/>
  <c r="M97" i="67"/>
  <c r="C97" i="67"/>
  <c r="G97" i="67" s="1"/>
  <c r="E97" i="67"/>
  <c r="D97" i="67"/>
  <c r="H3" i="67"/>
  <c r="D8" i="67"/>
  <c r="M10" i="67"/>
  <c r="H13" i="67"/>
  <c r="D18" i="67"/>
  <c r="D24" i="67"/>
  <c r="M26" i="67"/>
  <c r="C26" i="67"/>
  <c r="G26" i="67" s="1"/>
  <c r="H27" i="67"/>
  <c r="E42" i="67"/>
  <c r="M43" i="67"/>
  <c r="C43" i="67"/>
  <c r="G43" i="67" s="1"/>
  <c r="C45" i="67"/>
  <c r="G45" i="67" s="1"/>
  <c r="D47" i="67"/>
  <c r="E48" i="67"/>
  <c r="M57" i="67"/>
  <c r="E59" i="67"/>
  <c r="C59" i="67"/>
  <c r="G59" i="67" s="1"/>
  <c r="C63" i="67"/>
  <c r="G63" i="67" s="1"/>
  <c r="M67" i="67"/>
  <c r="M69" i="67"/>
  <c r="C69" i="67"/>
  <c r="G69" i="67" s="1"/>
  <c r="D69" i="67"/>
  <c r="E74" i="67"/>
  <c r="H97" i="67"/>
  <c r="D44" i="67"/>
  <c r="H44" i="67"/>
  <c r="E8" i="67"/>
  <c r="M11" i="67"/>
  <c r="C11" i="67"/>
  <c r="G11" i="67" s="1"/>
  <c r="M12" i="67"/>
  <c r="M20" i="67"/>
  <c r="E24" i="67"/>
  <c r="M35" i="67"/>
  <c r="M37" i="67"/>
  <c r="D39" i="67"/>
  <c r="H39" i="67"/>
  <c r="M41" i="67"/>
  <c r="C41" i="67"/>
  <c r="G41" i="67" s="1"/>
  <c r="C42" i="67"/>
  <c r="G42" i="67" s="1"/>
  <c r="D43" i="67"/>
  <c r="E44" i="67"/>
  <c r="D45" i="67"/>
  <c r="E47" i="67"/>
  <c r="D58" i="67"/>
  <c r="D59" i="67"/>
  <c r="E63" i="67"/>
  <c r="E69" i="67"/>
  <c r="E72" i="67"/>
  <c r="D72" i="67"/>
  <c r="E76" i="67"/>
  <c r="D76" i="67"/>
  <c r="E78" i="67"/>
  <c r="C78" i="67"/>
  <c r="G78" i="67" s="1"/>
  <c r="E82" i="67"/>
  <c r="H82" i="67"/>
  <c r="C82" i="67"/>
  <c r="G82" i="67" s="1"/>
  <c r="D94" i="67"/>
  <c r="H94" i="67"/>
  <c r="E94" i="67"/>
  <c r="C94" i="67"/>
  <c r="G94" i="67" s="1"/>
  <c r="M94" i="67"/>
  <c r="M60" i="67"/>
  <c r="E71" i="67"/>
  <c r="M75" i="67"/>
  <c r="E80" i="67"/>
  <c r="M83" i="67"/>
  <c r="C83" i="67"/>
  <c r="G83" i="67" s="1"/>
  <c r="E86" i="67"/>
  <c r="D88" i="67"/>
  <c r="E89" i="67"/>
  <c r="M68" i="67"/>
  <c r="H71" i="67"/>
  <c r="G80" i="67"/>
  <c r="D2" i="67"/>
  <c r="H2" i="67"/>
  <c r="M96" i="67"/>
  <c r="C96" i="67"/>
  <c r="G96" i="67" s="1"/>
  <c r="M71" i="67"/>
  <c r="M79" i="67"/>
  <c r="C79" i="67"/>
  <c r="G79" i="67" s="1"/>
  <c r="M80" i="67"/>
  <c r="D90" i="67"/>
  <c r="H90" i="67"/>
  <c r="E92" i="67"/>
  <c r="M93" i="67"/>
  <c r="C93" i="67"/>
  <c r="G93" i="67" s="1"/>
  <c r="E2" i="67"/>
  <c r="D86" i="67"/>
  <c r="H86" i="67"/>
  <c r="E88" i="67"/>
  <c r="M89" i="67"/>
  <c r="C89" i="67"/>
  <c r="G89" i="67" s="1"/>
  <c r="C90" i="67"/>
  <c r="G90" i="67" s="1"/>
  <c r="C2" i="65"/>
  <c r="C3" i="65"/>
  <c r="C4" i="65"/>
  <c r="C5" i="65"/>
  <c r="C6" i="65"/>
  <c r="C7" i="65"/>
  <c r="C8" i="65"/>
  <c r="C2" i="64"/>
  <c r="C3" i="64"/>
  <c r="C4" i="64"/>
  <c r="C3" i="60"/>
  <c r="C4" i="60"/>
  <c r="C5" i="60"/>
  <c r="C6" i="60"/>
  <c r="C2" i="60"/>
  <c r="C10" i="58"/>
  <c r="C3" i="58"/>
  <c r="C4" i="58"/>
  <c r="C2" i="58"/>
  <c r="C11" i="58"/>
  <c r="C6" i="58"/>
  <c r="C9" i="58"/>
  <c r="C5" i="58"/>
  <c r="C7" i="58"/>
  <c r="C8" i="58"/>
  <c r="C3" i="57"/>
  <c r="C4" i="57"/>
  <c r="C5" i="57"/>
  <c r="C6" i="57"/>
  <c r="C7" i="57"/>
  <c r="C8" i="57"/>
  <c r="C2" i="56"/>
  <c r="C3" i="56"/>
  <c r="C4" i="56"/>
  <c r="C5" i="56"/>
  <c r="C6" i="56"/>
  <c r="C7" i="56"/>
  <c r="C8" i="56"/>
  <c r="C9" i="56"/>
  <c r="C10" i="56"/>
  <c r="C11" i="56"/>
  <c r="C12" i="56"/>
  <c r="C13" i="56"/>
  <c r="C2" i="55"/>
  <c r="C4" i="55"/>
  <c r="C3" i="55"/>
  <c r="C5" i="55"/>
  <c r="C11" i="55"/>
  <c r="C9" i="55"/>
  <c r="C10" i="55"/>
  <c r="C6" i="55"/>
  <c r="C7" i="55"/>
  <c r="C8" i="55"/>
  <c r="C2" i="54"/>
  <c r="C2" i="53"/>
  <c r="C2" i="40" s="1"/>
  <c r="D2" i="40" s="1"/>
  <c r="C3" i="53"/>
  <c r="C3" i="40" s="1"/>
  <c r="D3" i="40" s="1"/>
  <c r="C4" i="53"/>
  <c r="C4" i="40" s="1"/>
  <c r="D4" i="40" s="1"/>
  <c r="C5" i="53"/>
  <c r="C5" i="40" s="1"/>
  <c r="D5" i="40" s="1"/>
  <c r="C6" i="53"/>
  <c r="C7" i="53"/>
  <c r="C7" i="40" s="1"/>
  <c r="D7" i="40" s="1"/>
  <c r="C8" i="53"/>
  <c r="C8" i="40" s="1"/>
  <c r="D8" i="40" s="1"/>
  <c r="C10" i="53"/>
  <c r="C11" i="53"/>
  <c r="C11" i="40" s="1"/>
  <c r="D11" i="40" s="1"/>
  <c r="C12" i="53"/>
  <c r="C12" i="40" s="1"/>
  <c r="D12" i="40" s="1"/>
  <c r="C13" i="53"/>
  <c r="C13" i="40" s="1"/>
  <c r="D13" i="40" s="1"/>
  <c r="C32" i="50"/>
  <c r="G32" i="50" s="1"/>
  <c r="C17" i="50"/>
  <c r="G17" i="50" s="1"/>
  <c r="C28" i="50"/>
  <c r="G28" i="50" s="1"/>
  <c r="C29" i="50"/>
  <c r="G29" i="50" s="1"/>
  <c r="C10" i="50"/>
  <c r="G10" i="50" s="1"/>
  <c r="C23" i="50"/>
  <c r="G23" i="50" s="1"/>
  <c r="C24" i="50"/>
  <c r="G24" i="50" s="1"/>
  <c r="C25" i="50"/>
  <c r="G25" i="50" s="1"/>
  <c r="G20" i="50"/>
  <c r="C11" i="50"/>
  <c r="G11" i="50" s="1"/>
  <c r="C6" i="50"/>
  <c r="G6" i="50" s="1"/>
  <c r="C19" i="50"/>
  <c r="G19" i="50" s="1"/>
  <c r="C33" i="50"/>
  <c r="G33" i="50" s="1"/>
  <c r="C13" i="50"/>
  <c r="G13" i="50" s="1"/>
  <c r="C22" i="50"/>
  <c r="G22" i="50" s="1"/>
  <c r="C5" i="50"/>
  <c r="G5" i="50" s="1"/>
  <c r="C15" i="50"/>
  <c r="G15" i="50" s="1"/>
  <c r="C8" i="50"/>
  <c r="G8" i="50" s="1"/>
  <c r="C9" i="50"/>
  <c r="G9" i="50" s="1"/>
  <c r="C21" i="50"/>
  <c r="G21" i="50" s="1"/>
  <c r="C31" i="50"/>
  <c r="G31" i="50" s="1"/>
  <c r="C26" i="50"/>
  <c r="G26" i="50" s="1"/>
  <c r="C30" i="50"/>
  <c r="G30" i="50" s="1"/>
  <c r="C12" i="50"/>
  <c r="G12" i="50" s="1"/>
  <c r="C18" i="50"/>
  <c r="G18" i="50" s="1"/>
  <c r="C14" i="50"/>
  <c r="G14" i="50" s="1"/>
  <c r="C2" i="50"/>
  <c r="G2" i="50" s="1"/>
  <c r="C7" i="50"/>
  <c r="G7" i="50" s="1"/>
  <c r="C4" i="50"/>
  <c r="G4" i="50" s="1"/>
  <c r="C27" i="50"/>
  <c r="G27" i="50" s="1"/>
  <c r="C16" i="50"/>
  <c r="G16" i="50" s="1"/>
  <c r="C3" i="50"/>
  <c r="G3" i="50" s="1"/>
  <c r="C22" i="45"/>
  <c r="G22" i="45" s="1"/>
  <c r="C23" i="45"/>
  <c r="G23" i="45" s="1"/>
  <c r="C17" i="45"/>
  <c r="G17" i="45" s="1"/>
  <c r="C10" i="45"/>
  <c r="G10" i="45" s="1"/>
  <c r="C18" i="45"/>
  <c r="G18" i="45" s="1"/>
  <c r="C4" i="45"/>
  <c r="G4" i="45" s="1"/>
  <c r="C3" i="45"/>
  <c r="G3" i="45" s="1"/>
  <c r="C2" i="45"/>
  <c r="G2" i="45" s="1"/>
  <c r="C21" i="45"/>
  <c r="G21" i="45" s="1"/>
  <c r="C13" i="45"/>
  <c r="G13" i="45" s="1"/>
  <c r="C16" i="45"/>
  <c r="G16" i="45" s="1"/>
  <c r="C11" i="45"/>
  <c r="G11" i="45" s="1"/>
  <c r="C12" i="45"/>
  <c r="G12" i="45" s="1"/>
  <c r="C26" i="45"/>
  <c r="G26" i="45" s="1"/>
  <c r="C6" i="45"/>
  <c r="G6" i="45" s="1"/>
  <c r="C9" i="45"/>
  <c r="G9" i="45" s="1"/>
  <c r="C5" i="45"/>
  <c r="G5" i="45" s="1"/>
  <c r="C14" i="45"/>
  <c r="G14" i="45" s="1"/>
  <c r="C27" i="45"/>
  <c r="G27" i="45" s="1"/>
  <c r="C7" i="45"/>
  <c r="G7" i="45" s="1"/>
  <c r="C8" i="45"/>
  <c r="G8" i="45" s="1"/>
  <c r="C15" i="45"/>
  <c r="G15" i="45" s="1"/>
  <c r="C19" i="45"/>
  <c r="G19" i="45" s="1"/>
  <c r="C20" i="45"/>
  <c r="G20" i="45" s="1"/>
  <c r="C24" i="45"/>
  <c r="G24" i="45" s="1"/>
  <c r="C25" i="45"/>
  <c r="G25" i="45" s="1"/>
  <c r="C3" i="44"/>
  <c r="D3" i="44" s="1"/>
  <c r="C4" i="44"/>
  <c r="D4" i="44" s="1"/>
  <c r="C5" i="44"/>
  <c r="D5" i="44" s="1"/>
  <c r="C6" i="44"/>
  <c r="D6" i="44" s="1"/>
  <c r="C7" i="44"/>
  <c r="D7" i="44" s="1"/>
  <c r="C8" i="44"/>
  <c r="D8" i="44" s="1"/>
  <c r="C9" i="44"/>
  <c r="D9" i="44" s="1"/>
  <c r="C10" i="44"/>
  <c r="D10" i="44" s="1"/>
  <c r="C11" i="44"/>
  <c r="D11" i="44" s="1"/>
  <c r="C12" i="44"/>
  <c r="C13" i="44"/>
  <c r="D13" i="44" s="1"/>
  <c r="C14" i="41"/>
  <c r="G14" i="41" s="1"/>
  <c r="C12" i="41"/>
  <c r="G12" i="41" s="1"/>
  <c r="C4" i="41"/>
  <c r="G4" i="41" s="1"/>
  <c r="C3" i="41"/>
  <c r="G3" i="41" s="1"/>
  <c r="C2" i="41"/>
  <c r="G2" i="41" s="1"/>
  <c r="C13" i="41"/>
  <c r="G13" i="41" s="1"/>
  <c r="C5" i="41"/>
  <c r="G5" i="41" s="1"/>
  <c r="C10" i="41"/>
  <c r="G10" i="41" s="1"/>
  <c r="C11" i="41"/>
  <c r="G11" i="41" s="1"/>
  <c r="C9" i="41"/>
  <c r="G9" i="41" s="1"/>
  <c r="C6" i="41"/>
  <c r="G6" i="41" s="1"/>
  <c r="C7" i="41"/>
  <c r="G7" i="41" s="1"/>
  <c r="C8" i="41"/>
  <c r="G8" i="41" s="1"/>
  <c r="C15" i="41"/>
  <c r="G15" i="41" s="1"/>
  <c r="B2" i="40"/>
  <c r="B3" i="40"/>
  <c r="B4" i="40"/>
  <c r="B5" i="40"/>
  <c r="B6" i="40"/>
  <c r="C6" i="40"/>
  <c r="D6" i="40" s="1"/>
  <c r="B8" i="40"/>
  <c r="B9" i="40"/>
  <c r="C9" i="40"/>
  <c r="D9" i="40" s="1"/>
  <c r="B10" i="40"/>
  <c r="C10" i="40"/>
  <c r="D10" i="40" s="1"/>
  <c r="B11" i="40"/>
  <c r="B12" i="40"/>
  <c r="B13" i="40"/>
  <c r="B4" i="33" l="1"/>
  <c r="I3" i="50"/>
  <c r="I16" i="50"/>
  <c r="I27" i="50"/>
  <c r="I4" i="50"/>
  <c r="I7" i="50"/>
  <c r="I2" i="50"/>
  <c r="I14" i="50"/>
  <c r="I18" i="50"/>
  <c r="I12" i="50"/>
  <c r="I30" i="50"/>
  <c r="I26" i="50"/>
  <c r="I31" i="50"/>
  <c r="I21" i="50"/>
  <c r="I9" i="50"/>
  <c r="I8" i="50"/>
  <c r="I15" i="50"/>
  <c r="I5" i="50"/>
  <c r="I22" i="50"/>
  <c r="I13" i="50"/>
  <c r="I33" i="50"/>
  <c r="I19" i="50"/>
  <c r="I6" i="50"/>
  <c r="I11" i="50"/>
  <c r="I20" i="50"/>
  <c r="I25" i="50"/>
  <c r="I24" i="50"/>
  <c r="I23" i="50"/>
  <c r="I10" i="50"/>
  <c r="I29" i="50"/>
  <c r="I28" i="50"/>
  <c r="I17" i="50"/>
  <c r="I32" i="50"/>
  <c r="I24" i="45"/>
  <c r="I20" i="45"/>
  <c r="I19" i="45"/>
  <c r="I15" i="45"/>
  <c r="I27" i="45"/>
  <c r="I14" i="45"/>
  <c r="I9" i="45"/>
  <c r="I6" i="45"/>
  <c r="I26" i="45"/>
  <c r="I18" i="45"/>
  <c r="I10" i="45"/>
  <c r="I23" i="45"/>
  <c r="I22" i="45" l="1"/>
  <c r="I14" i="41"/>
  <c r="I13" i="45"/>
  <c r="I10" i="41"/>
  <c r="I16" i="45"/>
  <c r="I11" i="41"/>
  <c r="I5" i="45"/>
  <c r="I6" i="41"/>
  <c r="I11" i="45"/>
  <c r="I4" i="45"/>
  <c r="I4" i="41"/>
  <c r="I5" i="41"/>
  <c r="I7" i="41"/>
  <c r="I7" i="45"/>
  <c r="I3" i="41"/>
  <c r="I3" i="45"/>
  <c r="I8" i="41"/>
  <c r="I8" i="45"/>
  <c r="I25" i="45"/>
  <c r="I15" i="41"/>
  <c r="I13" i="41"/>
  <c r="I21" i="45"/>
  <c r="I17" i="45"/>
  <c r="I12" i="41"/>
  <c r="I2" i="41"/>
  <c r="I12" i="45"/>
  <c r="I9" i="41"/>
  <c r="E2" i="58" l="1"/>
  <c r="D2" i="58" s="1"/>
  <c r="E3" i="55"/>
  <c r="D3" i="55" s="1"/>
  <c r="H2" i="41"/>
</calcChain>
</file>

<file path=xl/sharedStrings.xml><?xml version="1.0" encoding="utf-8"?>
<sst xmlns="http://schemas.openxmlformats.org/spreadsheetml/2006/main" count="9830" uniqueCount="3782">
  <si>
    <t>NEW</t>
  </si>
  <si>
    <t>2018.1.1</t>
  </si>
  <si>
    <t>Upon yielding, kind sea subdue very seed sixth them.</t>
  </si>
  <si>
    <t>index.arrivals.3.category</t>
  </si>
  <si>
    <t>index.arrivals.3.update</t>
  </si>
  <si>
    <t>index.arrivals.3.summary</t>
  </si>
  <si>
    <t>index.arrivals.3.img</t>
  </si>
  <si>
    <t>index.arrivals.3.url</t>
  </si>
  <si>
    <t>index.arrivals.3.alt</t>
  </si>
  <si>
    <t>name</t>
  </si>
  <si>
    <t>category</t>
    <phoneticPr fontId="18"/>
  </si>
  <si>
    <t>update</t>
    <phoneticPr fontId="18"/>
  </si>
  <si>
    <t>summary</t>
    <phoneticPr fontId="18"/>
  </si>
  <si>
    <t>img</t>
    <phoneticPr fontId="18"/>
  </si>
  <si>
    <t>url</t>
    <phoneticPr fontId="18"/>
  </si>
  <si>
    <t>alt</t>
    <phoneticPr fontId="18"/>
  </si>
  <si>
    <t>id</t>
    <phoneticPr fontId="18"/>
  </si>
  <si>
    <t>summary</t>
    <phoneticPr fontId="18"/>
  </si>
  <si>
    <t>active</t>
  </si>
  <si>
    <t>count</t>
    <phoneticPr fontId="18"/>
  </si>
  <si>
    <t>first-slide</t>
  </si>
  <si>
    <t>second-slide</t>
  </si>
  <si>
    <t>second-slide</t>
    <phoneticPr fontId="18"/>
  </si>
  <si>
    <t>third-slide</t>
  </si>
  <si>
    <t>third-slide</t>
    <phoneticPr fontId="18"/>
  </si>
  <si>
    <t>title</t>
    <phoneticPr fontId="18"/>
  </si>
  <si>
    <t>indicators-id</t>
    <phoneticPr fontId="18"/>
  </si>
  <si>
    <t>index.carousel.0.count</t>
  </si>
  <si>
    <t>index.carousel.0.title</t>
  </si>
  <si>
    <t>index.carousel.0.summary</t>
  </si>
  <si>
    <t>index.carousel.0.img</t>
  </si>
  <si>
    <t>index.carousel.0.url</t>
  </si>
  <si>
    <t>index.carousel.0.alt</t>
  </si>
  <si>
    <t>index.carousel.0.indicators-id</t>
  </si>
  <si>
    <t>index.carousel.1.count</t>
  </si>
  <si>
    <t>index.carousel.1.title</t>
  </si>
  <si>
    <t>index.carousel.1.summary</t>
  </si>
  <si>
    <t>index.carousel.1.img</t>
  </si>
  <si>
    <t>index.carousel.1.url</t>
  </si>
  <si>
    <t>index.carousel.1.alt</t>
  </si>
  <si>
    <t>index.carousel.1.indicators-id</t>
  </si>
  <si>
    <t>index.carousel.2.count</t>
  </si>
  <si>
    <t>index.carousel.2.title</t>
  </si>
  <si>
    <t>index.carousel.2.summary</t>
  </si>
  <si>
    <t>index.carousel.2.img</t>
  </si>
  <si>
    <t>index.carousel.2.url</t>
  </si>
  <si>
    <t>index.carousel.2.alt</t>
  </si>
  <si>
    <t>index.carousel.2.indicators-id</t>
  </si>
  <si>
    <t>active</t>
    <phoneticPr fontId="18"/>
  </si>
  <si>
    <t>class</t>
    <phoneticPr fontId="18"/>
  </si>
  <si>
    <t>http://via.placeholder.com/540x250</t>
    <phoneticPr fontId="18"/>
  </si>
  <si>
    <t>ALBUM DI FAMIGLIA</t>
  </si>
  <si>
    <t>BABE&amp;TESS</t>
  </si>
  <si>
    <t>BONPOINT</t>
  </si>
  <si>
    <t>BONTON</t>
  </si>
  <si>
    <t>CARAMEL</t>
  </si>
  <si>
    <t>CHRISTINA ROHDE</t>
  </si>
  <si>
    <t>COUPRIO</t>
  </si>
  <si>
    <t>EMILE ET IDA</t>
  </si>
  <si>
    <t>GOLD</t>
  </si>
  <si>
    <t>HARTFORD</t>
  </si>
  <si>
    <t>KETIKETA</t>
  </si>
  <si>
    <t>MAKIE</t>
  </si>
  <si>
    <t>MINA PERHONEN</t>
  </si>
  <si>
    <t>PEPE</t>
  </si>
  <si>
    <t>PETIT BATEAU</t>
  </si>
  <si>
    <t>ZEF</t>
  </si>
  <si>
    <t>AMERICAN OUTFITTERS</t>
  </si>
  <si>
    <t>BELLEROSE</t>
  </si>
  <si>
    <t>BENSIMON</t>
  </si>
  <si>
    <t>BIRKENSTOCK</t>
  </si>
  <si>
    <t>LA BOTTEGA DI GIORGIA</t>
  </si>
  <si>
    <t>LAVENHAM</t>
  </si>
  <si>
    <t>LES COYOTES DE PARIS</t>
  </si>
  <si>
    <t>LIBERTY</t>
  </si>
  <si>
    <t>NATHALIE VERLINDEN</t>
  </si>
  <si>
    <t>NOVEMB3R</t>
  </si>
  <si>
    <t>NORO</t>
  </si>
  <si>
    <t>POLDER</t>
  </si>
  <si>
    <t>REPETTO</t>
  </si>
  <si>
    <t>SANS ARCIDET</t>
  </si>
  <si>
    <t>SOEUR</t>
  </si>
  <si>
    <t>ANNIEL</t>
  </si>
  <si>
    <t>BEAUMONT ORGANIC</t>
  </si>
  <si>
    <t>CASTANER</t>
  </si>
  <si>
    <t>CECILE BOCCARA</t>
  </si>
  <si>
    <t>CHAN LUU</t>
  </si>
  <si>
    <t>CHARLI</t>
  </si>
  <si>
    <t>DRAGON</t>
  </si>
  <si>
    <t>FABIO RUSCONI</t>
  </si>
  <si>
    <t>FALIERO SARTI</t>
  </si>
  <si>
    <t>HELEN KAMINSKI</t>
  </si>
  <si>
    <t>HUMANOID</t>
  </si>
  <si>
    <t>JAMIN PUECH</t>
  </si>
  <si>
    <t>KHADI &amp; CO</t>
  </si>
  <si>
    <t>MAJESTIC FILATURES</t>
  </si>
  <si>
    <t>MANUELLE GUIBAL</t>
  </si>
  <si>
    <t>MAURICE MANUFACTURE</t>
  </si>
  <si>
    <t>MEDUSE</t>
  </si>
  <si>
    <t>MUHLBAUER</t>
  </si>
  <si>
    <t>MUUN</t>
  </si>
  <si>
    <t>PIP-SQUEAK CHAPEAU</t>
  </si>
  <si>
    <t>PORSELLI</t>
  </si>
  <si>
    <t>SOFIE D'HOORE</t>
  </si>
  <si>
    <t>SOPHIE DIGARD</t>
  </si>
  <si>
    <t>SWILDENS</t>
  </si>
  <si>
    <t>TRADITIONAL WEATHERWEAR</t>
  </si>
  <si>
    <t>T.YAMAI</t>
  </si>
  <si>
    <t>ワンピース</t>
  </si>
  <si>
    <t>トップス</t>
  </si>
  <si>
    <t>ボトムス</t>
  </si>
  <si>
    <t>シューズ</t>
  </si>
  <si>
    <t>アクセサリ・グッズ</t>
  </si>
  <si>
    <t>アウター</t>
  </si>
  <si>
    <t>スイムウエア</t>
  </si>
  <si>
    <t>ロンパース</t>
  </si>
  <si>
    <t>タイツ・ソックス</t>
  </si>
  <si>
    <t>レギンス</t>
  </si>
  <si>
    <t>ボーイズ</t>
  </si>
  <si>
    <t>source</t>
    <phoneticPr fontId="18"/>
  </si>
  <si>
    <t>type</t>
    <phoneticPr fontId="18"/>
  </si>
  <si>
    <t>domain</t>
    <phoneticPr fontId="18"/>
  </si>
  <si>
    <t>http://www.lilietnene.com</t>
    <phoneticPr fontId="18"/>
  </si>
  <si>
    <t>lilietnene</t>
    <phoneticPr fontId="18"/>
  </si>
  <si>
    <t>store key</t>
    <phoneticPr fontId="18"/>
  </si>
  <si>
    <t>path1</t>
    <phoneticPr fontId="18"/>
  </si>
  <si>
    <t>c/</t>
    <phoneticPr fontId="18"/>
  </si>
  <si>
    <t>search</t>
    <phoneticPr fontId="18"/>
  </si>
  <si>
    <t>GoodsSearchList.html?_e_k=%82%60&amp;keyword=●&amp;searchBtn.x=0&amp;searchBtn.y=0</t>
    <phoneticPr fontId="18"/>
  </si>
  <si>
    <t>インナー・パジャマ</t>
  </si>
  <si>
    <t>水着</t>
  </si>
  <si>
    <t>バレエグッズ</t>
  </si>
  <si>
    <t>current/collection</t>
    <phoneticPr fontId="18"/>
  </si>
  <si>
    <t>current/look</t>
    <phoneticPr fontId="18"/>
  </si>
  <si>
    <t>17aw</t>
    <phoneticPr fontId="18"/>
  </si>
  <si>
    <t>18ss</t>
    <phoneticPr fontId="18"/>
  </si>
  <si>
    <t>TROUSSELIER</t>
  </si>
  <si>
    <t>SENGER</t>
  </si>
  <si>
    <t>SINA</t>
  </si>
  <si>
    <t>SIAN BEBE</t>
  </si>
  <si>
    <t>NAEF</t>
  </si>
  <si>
    <t>ANNE-CLAIRE PETIT</t>
  </si>
  <si>
    <t>3,000円以下</t>
  </si>
  <si>
    <t>3,001円 ～ 5,000円</t>
  </si>
  <si>
    <t>5,001円 ～ 8,000円</t>
  </si>
  <si>
    <t>8,001円 ～ 10,000円</t>
  </si>
  <si>
    <t>10,001円 ～ 15,000円</t>
  </si>
  <si>
    <t>15,001円 ～ 20,000円</t>
  </si>
  <si>
    <t>20,000円 ～</t>
  </si>
  <si>
    <t>ベビー</t>
  </si>
  <si>
    <t>APOLLINE</t>
  </si>
  <si>
    <t>TAMAR MOGENDORFF</t>
  </si>
  <si>
    <t>CORAL&amp;TUSK</t>
  </si>
  <si>
    <t>MACON ET LESQUOY</t>
  </si>
  <si>
    <t>THE FABULOUS GARLANDS</t>
  </si>
  <si>
    <t>OEUF</t>
  </si>
  <si>
    <t>NATHALIE LETE</t>
  </si>
  <si>
    <t>assets/images/</t>
    <phoneticPr fontId="18"/>
  </si>
  <si>
    <t>バッグ</t>
  </si>
  <si>
    <t>スカーフ・ストール</t>
  </si>
  <si>
    <t>index.carousel.0.class</t>
  </si>
  <si>
    <t>index.carousel.1.class</t>
  </si>
  <si>
    <t>index.carousel.2.class</t>
  </si>
  <si>
    <t>http://via.placeholder.com/540x250</t>
  </si>
  <si>
    <t>/fs/lilietnene/c/item-b-dress-all</t>
  </si>
  <si>
    <t>/fs/lilietnene/c/item-b-tops-all</t>
  </si>
  <si>
    <t>/fs/lilietnene/c/item-b-bottoms-all</t>
  </si>
  <si>
    <t>/fs/lilietnene/c/item-b-shoes-all</t>
  </si>
  <si>
    <t>/fs/lilietnene/c/item-b-acc-goods-all</t>
  </si>
  <si>
    <t>/fs/lilietnene/c/item-b-roomwear-all</t>
  </si>
  <si>
    <t>/fs/lilietnene/c/item-b-outer-all</t>
  </si>
  <si>
    <t>/fs/lilietnene/c/item-b-rompers-all</t>
  </si>
  <si>
    <t>/fs/lilietnene/c/item-b-acc-goods-tights-socks</t>
  </si>
  <si>
    <t>/fs/lilietnene/c/item-b-bottoms-leggins</t>
  </si>
  <si>
    <t>/fs/lilietnene/c/item-b-boys-all</t>
  </si>
  <si>
    <t>アルバム ディ　ファミリア</t>
  </si>
  <si>
    <t>イタリアの子供服ブランド「ALBUM DI FAMIGLIA（アルバム ディ ファミリア）」。現代的でミニマルなデザインと上質なコットンの肌触りが好評をうけ、イタリアをはじめヨーロッパで人気を集めています。</t>
  </si>
  <si>
    <t>albumdifamiglia</t>
  </si>
  <si>
    <t>ALBUM DI FAMIGLIA アルバム ディ　ファミリア</t>
  </si>
  <si>
    <t>A</t>
  </si>
  <si>
    <t>ベイブアンドテス</t>
  </si>
  <si>
    <t>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t>
  </si>
  <si>
    <t>babeandtess</t>
  </si>
  <si>
    <t>BABE&amp;TESS ベイブアンドテス</t>
  </si>
  <si>
    <t>B</t>
  </si>
  <si>
    <t>ボンポワン</t>
  </si>
  <si>
    <t>フランスのパリを拠点に、ヨーロッパ、世界中のセレブから愛されている老舗子供服ブランド『BONPOINT（ボンポワン）』。高品質の素材とシンプルな中にもディテールまでこだわった作りが人気を集めています。</t>
  </si>
  <si>
    <t>bonpoint</t>
  </si>
  <si>
    <t>BONPOINT ボンポワン</t>
  </si>
  <si>
    <t>ボントン</t>
  </si>
  <si>
    <t>パリで１番話題の子供ブティック『BONTON（ボントン）』。同じパリで有名なボンポワンのご子息が立ち上げたブランドで、ボンポワンよりカジュアルな雰囲気の子供服が人気。</t>
  </si>
  <si>
    <t>bonton</t>
  </si>
  <si>
    <t>BONTON ボントン</t>
  </si>
  <si>
    <t>キャラメル</t>
  </si>
  <si>
    <t>caramel</t>
  </si>
  <si>
    <t>CARAMEL キャラメル</t>
  </si>
  <si>
    <t>C</t>
  </si>
  <si>
    <t>クリスティーナ・ローデ</t>
  </si>
  <si>
    <t>デンマーク発の老舗子供服ブランド「CHRISTINA ROHDE（クリスティーナ・ローデ）」。リバティプリントやオリジナルの生地を使い、シンプルながらもディテールにこだわったデザインが特徴的。</t>
  </si>
  <si>
    <t>christinarohde</t>
  </si>
  <si>
    <t>CHRISTINA ROHDE クリスティーナ・ローデ</t>
  </si>
  <si>
    <t>クプリオ</t>
  </si>
  <si>
    <t>couprio</t>
  </si>
  <si>
    <t>COUPRIO クプリオ</t>
  </si>
  <si>
    <t>エミールエイダ</t>
  </si>
  <si>
    <t>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t>
  </si>
  <si>
    <t>emileetida</t>
  </si>
  <si>
    <t>EMILE ET IDA エミールエイダ</t>
  </si>
  <si>
    <t>E</t>
  </si>
  <si>
    <t>ゴールド</t>
  </si>
  <si>
    <t>GOLDは、アントワープで学んだベルギーのデザイナー、Liz to Dirk によるベビー・キッズブランド。シンプルな中にもさり気なく個性的なアクセントを取り入れたアイテムがヨーロッパで人気を集めています。</t>
  </si>
  <si>
    <t>gold</t>
  </si>
  <si>
    <t>GOLD ゴールド</t>
  </si>
  <si>
    <t>G</t>
  </si>
  <si>
    <t>ハートフォード</t>
  </si>
  <si>
    <t>hartford</t>
  </si>
  <si>
    <t>HARTFORD ハートフォード</t>
  </si>
  <si>
    <t>H</t>
  </si>
  <si>
    <t>ケティケタ</t>
  </si>
  <si>
    <t>ネパール語で女の子と男の子を意味するフランスのブランド、KETIKETA。ネパールの伝統的なテキスタイルや材料を使って、ベビー＆子供服や寝具、アクセサリーを作っています。</t>
  </si>
  <si>
    <t>ketiketa</t>
  </si>
  <si>
    <t>KETIKETA ケティケタ</t>
  </si>
  <si>
    <t>K</t>
  </si>
  <si>
    <t>マキエ</t>
  </si>
  <si>
    <t>MAKIEはニューヨークで人気の高いベビー・キッズ・レディースのブランドです。NYとヨーロッパのイメージをミックスしたような洗練された雰囲気がNYのみならず日本でも人気を集めています。</t>
  </si>
  <si>
    <t>makie</t>
  </si>
  <si>
    <t>MAKIE マキエ</t>
  </si>
  <si>
    <t>M</t>
  </si>
  <si>
    <t>ミナペルホネン</t>
  </si>
  <si>
    <t>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t>
  </si>
  <si>
    <t>MINA PERHONEN ミナペルホネン</t>
  </si>
  <si>
    <t>ペペ</t>
  </si>
  <si>
    <t>イタリアの老舗子供靴ブランドPEPE。洗練されたデザインと丁寧な縫製、品質でヨーロッパを中心に人気を集めています。</t>
  </si>
  <si>
    <t>pepe</t>
  </si>
  <si>
    <t>PEPE ペペ</t>
  </si>
  <si>
    <t>P</t>
  </si>
  <si>
    <t>プチバトー</t>
  </si>
  <si>
    <t>子どもから大人まであらゆる世代に受け入れられているフランスの国民的ブランド、プチバトー。トレンドを程良く組み込んだシンプルなデザインはコーディネートを自由にお楽しみ頂けます。</t>
  </si>
  <si>
    <t>petitbateau</t>
  </si>
  <si>
    <t>PETIT BATEAU プチバトー</t>
  </si>
  <si>
    <t>ゼフ</t>
  </si>
  <si>
    <t>フランスでは「Vogue」や「milk」などでも紹介されている人気子供服ブランドZEF。エスニックテイストなどを始めとして上質でフランスならではの素敵なセンスと上質さを散りばめたアイテムが注目を集めています。</t>
  </si>
  <si>
    <t>zef</t>
  </si>
  <si>
    <t>ZEF ゼフ</t>
  </si>
  <si>
    <t>Z</t>
  </si>
  <si>
    <t>アメリカンアウトフィッターズ</t>
  </si>
  <si>
    <t>ベルギーのブランド、「AMERICAN OUTFITTERS（アメリカン・アウトフィッターズ）」はベルギーから見たアメリカンカジュアルスタイルがコンセプト。独特の色味とデザインの個性豊かなアイテムが魅力です。</t>
  </si>
  <si>
    <t>ao</t>
  </si>
  <si>
    <t>AMERICAN OUTFITTERS アメリカンアウトフィッターズ</t>
  </si>
  <si>
    <t>ベルローズ</t>
  </si>
  <si>
    <t>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t>
  </si>
  <si>
    <t>bellerose</t>
  </si>
  <si>
    <t>BELLEROSE ベルローズ</t>
  </si>
  <si>
    <t>ベンシモン</t>
  </si>
  <si>
    <t>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t>
  </si>
  <si>
    <t>bensimon</t>
  </si>
  <si>
    <t>BENSIMON ベンシモン</t>
  </si>
  <si>
    <t>ビルケンシュトック</t>
  </si>
  <si>
    <t>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t>
  </si>
  <si>
    <t>birkenstock</t>
  </si>
  <si>
    <t>BIRKENSTOCK ビルケンシュトック</t>
  </si>
  <si>
    <t>D</t>
  </si>
  <si>
    <t>F</t>
  </si>
  <si>
    <t>I</t>
  </si>
  <si>
    <t>ラ・ボッテガ・ディ・ジョルジア</t>
  </si>
  <si>
    <t>素材の質を大切にしたイタリアのブランド、「La Bottega di Giorgia（ラ・ボッテガ・ジョルジア）」。子供思いのデザイナーはさりげない遊び心も大切にしており、着心地とデザイン性を兼ね備えたアイテムが揃っています。</t>
  </si>
  <si>
    <t>labottegadigiorgia</t>
  </si>
  <si>
    <t>LA BOTTEGA DI GIORGIA ラ・ボッテガ・ディ・ジョルジア</t>
  </si>
  <si>
    <t>L</t>
  </si>
  <si>
    <t>ラベンハム</t>
  </si>
  <si>
    <t>キルティングジャケットのラベンハムは1969年、ロンドン郊外の小さな町ラベンハムで乗馬用のライディングウェアとしてスタート。現在は世界中で高いデザイン性と安定した品質で高い評価を得ています。</t>
  </si>
  <si>
    <t>lavenham</t>
  </si>
  <si>
    <t>LAVENHAM ラベンハム</t>
  </si>
  <si>
    <t>レコヨーテドゥパリ</t>
  </si>
  <si>
    <t>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t>
  </si>
  <si>
    <t>lescoyotesdeparis</t>
  </si>
  <si>
    <t>LES COYOTES DE PARIS レコヨーテドゥパリ</t>
  </si>
  <si>
    <t>リバティ</t>
  </si>
  <si>
    <t>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t>
  </si>
  <si>
    <t>liberty</t>
  </si>
  <si>
    <t>LIBERTY リバティ</t>
  </si>
  <si>
    <t>ナタリーバーリンデン</t>
  </si>
  <si>
    <t>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t>
  </si>
  <si>
    <t>nathalieverlinden</t>
  </si>
  <si>
    <t>NATHALIE VERLINDEN ナタリーバーリンデン</t>
  </si>
  <si>
    <t>N</t>
  </si>
  <si>
    <t>ノーベンバー</t>
  </si>
  <si>
    <t>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t>
  </si>
  <si>
    <t>novemb3r</t>
  </si>
  <si>
    <t>NOVEMB3R ノーベンバー</t>
  </si>
  <si>
    <t>ノロ</t>
  </si>
  <si>
    <t>パリを拠点とするブランド「NORO(ノロ)」。シンプルな可愛らしさのノスタルジックなデザインはコーディネートしやすく、洗練されたバランス感覚がパリらしいブランド。</t>
  </si>
  <si>
    <t>noro</t>
  </si>
  <si>
    <t>NORO ノロ</t>
  </si>
  <si>
    <t>ポルダー</t>
  </si>
  <si>
    <t>polder</t>
  </si>
  <si>
    <t>POLDER ポルダー</t>
  </si>
  <si>
    <t>レペット</t>
  </si>
  <si>
    <t>レペット（repetto）は1947年にrose repetto女史がパリに開いて以来、ヨーロッパではクラシックバレエシューズウェアの先駆者であり現在もトップブランドで世界中のダンサーから愛されています。</t>
  </si>
  <si>
    <t>repetto</t>
  </si>
  <si>
    <t>REPETTO レペット</t>
  </si>
  <si>
    <t>R</t>
  </si>
  <si>
    <t>サンアルシデ</t>
  </si>
  <si>
    <t>かごバッグや帽子で有名なサンアルシデ。ファンの心を掴んで離さない高品質でスタイリッシュなデザインです。 マダガスカル島のラフィア椰子を使ってハンドメイドされています。</t>
  </si>
  <si>
    <t>sansarcidet</t>
  </si>
  <si>
    <t>SANS ARCIDET サンアルシデ</t>
  </si>
  <si>
    <t>S</t>
  </si>
  <si>
    <t>スール</t>
  </si>
  <si>
    <t>パリのSOEURは、BonpointやBontonで経験を積んだドミティル・ブリオンとアンジェリックの姉妹が、ふたりの娘たちへと立ち上げたティーン向けブランド。上品なキュートさがのぞくコレクションを展開。</t>
  </si>
  <si>
    <t>soeur</t>
  </si>
  <si>
    <t>SOEUR スール</t>
  </si>
  <si>
    <t>T</t>
  </si>
  <si>
    <t>アニエル</t>
  </si>
  <si>
    <t>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t>
  </si>
  <si>
    <t>anniel</t>
  </si>
  <si>
    <t>ANNIEL アニエル</t>
  </si>
  <si>
    <t>ボーモントオーガニック</t>
  </si>
  <si>
    <t>「BEAUMONT ORGANIC（ボーモント オーガニック）」は、イギリス人のハンナ・ニコルにより8枚の100％オーガニック コットン ジャージで作られた美しい2008SSコレクションから始まりました。</t>
  </si>
  <si>
    <t>beaumont-o</t>
  </si>
  <si>
    <t>BEAUMONT ORGANIC ボーモントオーガニック</t>
  </si>
  <si>
    <t>カスタニエール</t>
  </si>
  <si>
    <t>スペイン発、エスパドリーユの老舗ブランド「CASTANER（カスタニェール）」。 1810年のブランド創設以来、ジュードソールとキャンバスアッパーのエスパドリーユが多くの人から親しまれています</t>
  </si>
  <si>
    <t>castaner</t>
  </si>
  <si>
    <t>CASTANER カスタニエール</t>
  </si>
  <si>
    <t>セシルボッカラ</t>
  </si>
  <si>
    <t>パリにアトリエを構え、世界中へコレクションを発表しているアクセサリーブランド「CECILE BOCCARA（セシルボッカラ）」。繊細かつ上品なデザインと美しい色使いで個性溢れるアイテムが特徴的です。</t>
  </si>
  <si>
    <t>cecileboccara</t>
  </si>
  <si>
    <t>CECILE BOCCARA セシルボッカラ</t>
  </si>
  <si>
    <t>チャンルー</t>
  </si>
  <si>
    <t>ベトナム出身の女性デザイナーChanLuuが、2004年に立ち上げたブランド。オリエンタルとアンティークの混ざり合う独特な雰囲気とデザインで、世界中にファンを広げる、今注目のブランドです。</t>
  </si>
  <si>
    <t>chanluu</t>
  </si>
  <si>
    <t>CHAN LUU チャンルー</t>
  </si>
  <si>
    <t>チャーリー</t>
  </si>
  <si>
    <t>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t>
  </si>
  <si>
    <t>charli</t>
  </si>
  <si>
    <t>CHARLI チャーリー</t>
  </si>
  <si>
    <t>ドラゴン</t>
  </si>
  <si>
    <t>熟練した職人の編みこみによるレザーメッシュが特徴的なブランド。ハイブランドからのオファーも絶えず、常にクオリティの高いレザー製品を手がけています。</t>
  </si>
  <si>
    <t>dragon</t>
  </si>
  <si>
    <t>DRAGON ドラゴン</t>
  </si>
  <si>
    <t>ファビオルスコーニ</t>
  </si>
  <si>
    <t>イタリア、トスカーナ州フィレンツェ在住のシューズデザイナー、FabioRusconiが1998年に立ち上げたブランド。若々しい女性、行動的な女性、洗練された女性のために捧げたコレクションです。</t>
  </si>
  <si>
    <t>fabiorusconi</t>
  </si>
  <si>
    <t>FABIO RUSCONI ファビオルスコーニ</t>
  </si>
  <si>
    <t>ファリエロサルティ</t>
  </si>
  <si>
    <t>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t>
  </si>
  <si>
    <t>falierosarti</t>
  </si>
  <si>
    <t>FALIERO SARTI ファリエロサルティ</t>
  </si>
  <si>
    <t>ヘレンカミンスキー</t>
  </si>
  <si>
    <t>helenkaminski</t>
  </si>
  <si>
    <t>HELEN KAMINSKI ヘレンカミンスキー</t>
  </si>
  <si>
    <t>ヒューマノイド</t>
  </si>
  <si>
    <t>1981年よりスタートしたオランダのブランド。シックなカラーリングと上質な素材感、またシンプルでありながらフェミニンな立体感のある独特なシルエットで、ヨーロッパの女性を魅了しています。</t>
  </si>
  <si>
    <t>humanoid</t>
  </si>
  <si>
    <t>HUMANOID ヒューマノイド</t>
  </si>
  <si>
    <t>ジャマンピエッシュ</t>
  </si>
  <si>
    <t>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t>
  </si>
  <si>
    <t>jaminpuech</t>
  </si>
  <si>
    <t>JAMIN PUECH ジャマンピエッシュ</t>
  </si>
  <si>
    <t>J</t>
  </si>
  <si>
    <t>カディアンドコー</t>
  </si>
  <si>
    <t>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t>
  </si>
  <si>
    <t>khadiandco</t>
  </si>
  <si>
    <t>KHADI &amp; CO カディアンドコー</t>
  </si>
  <si>
    <t>ファッション小物・グッズ</t>
  </si>
  <si>
    <t>マジェスティックフィラチュール</t>
  </si>
  <si>
    <t>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t>
  </si>
  <si>
    <t>majesticfilatures</t>
  </si>
  <si>
    <t>MAJESTIC FILATURES マジェスティックフィラチュール</t>
  </si>
  <si>
    <t>マニュエルギバル</t>
  </si>
  <si>
    <t>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t>
  </si>
  <si>
    <t>manuelleguibal</t>
  </si>
  <si>
    <t>MANUELLE GUIBAL マニュエルギバル</t>
  </si>
  <si>
    <t>モーリスマニュファクチュール</t>
  </si>
  <si>
    <t>mauricemanufacture</t>
  </si>
  <si>
    <t>MAURICE MANUFACTURE モーリスマニュファクチュール</t>
  </si>
  <si>
    <t>メデュース</t>
  </si>
  <si>
    <t>フランスの老舗シューズファクトリーUMO（ウモ）のフェミニンライン「MEDUSE」。MADE IN FRANCEのデザインとクオリティでヨーロッパ各国で愛されているブランドです。ラバー素材をオシャレに楽しくというコンセプトのもと、シンプルで合わせやすいアイテムを提案しています。</t>
  </si>
  <si>
    <t>meduse</t>
  </si>
  <si>
    <t>MEDUSE メデュース</t>
  </si>
  <si>
    <t>ミュールバウアー</t>
  </si>
  <si>
    <t>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t>
  </si>
  <si>
    <t>muhlbauer</t>
  </si>
  <si>
    <t>MUHLBAUER ミュールバウアー</t>
  </si>
  <si>
    <t>ムーニュ</t>
  </si>
  <si>
    <t>muun</t>
  </si>
  <si>
    <t>MUUN ムーニュ</t>
  </si>
  <si>
    <t>O</t>
  </si>
  <si>
    <t>ピップスクイークシャポー</t>
  </si>
  <si>
    <t>100％天然素材のみを使用し、すべてNYのブルックリンにてハンドメイドで作り上げるこだわりのブランド。上質な素材のナチュラルな風合いが生かされたコレクションは、年齢を問わずに楽しめるアイテムが揃います。</t>
  </si>
  <si>
    <t>pip-squeakchapeau</t>
  </si>
  <si>
    <t>PIP-SQUEAK CHAPEAU ピップスクイークシャポー</t>
  </si>
  <si>
    <t>ポルセリ</t>
  </si>
  <si>
    <t>PORSELLI（ポルセリ）はイタリア・ミラノの老舗バレエ用品ブランド。上質な革を使い、伝統の製法を受け継いだ熟練の職人の手で丁寧に作り上げられる、やわらかな履き心地のシューズは世界中で愛されています。</t>
  </si>
  <si>
    <t>porselli</t>
  </si>
  <si>
    <t>PORSELLI ポルセリ</t>
  </si>
  <si>
    <t>ソフィードール</t>
  </si>
  <si>
    <t>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t>
  </si>
  <si>
    <t>sofiedhoore</t>
  </si>
  <si>
    <t>SOFIE D'HOORE ソフィードール</t>
  </si>
  <si>
    <t>ソフィー・ディガール</t>
  </si>
  <si>
    <t>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t>
  </si>
  <si>
    <t>sophiedigard</t>
  </si>
  <si>
    <t>SOPHIE DIGARD ソフィー・ディガール</t>
  </si>
  <si>
    <t>スウィルデンズ</t>
  </si>
  <si>
    <t>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t>
  </si>
  <si>
    <t>swildens</t>
  </si>
  <si>
    <t>SWILDENS スウィルデンズ</t>
  </si>
  <si>
    <t>トラディショナルウェザーウエア</t>
  </si>
  <si>
    <t>TRADITIONAL WEATHERWEAR（トラディショナルウェザーウェア）は、セレクトショップで注目されているゴム引きコート『マッキントッシュ』社のセカンドライン。英国の伝統的でスタイリッシュなアウターが特徴です。</t>
  </si>
  <si>
    <t>tww</t>
  </si>
  <si>
    <t>TRADITIONAL WEATHERWEAR トラディショナルウェザーウエア</t>
  </si>
  <si>
    <t>ティヤマイ</t>
  </si>
  <si>
    <t>日本人デザイナー・山井孝氏によるブランド『t.yamai』はベーシックな中にもフェミニンで上品なデザインが多くのファンを魅了しています。</t>
  </si>
  <si>
    <t>tyamai</t>
  </si>
  <si>
    <t>T.YAMAI ティヤマイ</t>
  </si>
  <si>
    <t>W</t>
  </si>
  <si>
    <t>/fs/lilietnene/GoodsSearchList.html?_e_k=%82%60&amp;keyword=size-6M&amp;searchBtn.x=0&amp;searchBtn.y=0</t>
  </si>
  <si>
    <t>/fs/lilietnene/GoodsSearchList.html?_e_k=%82%60&amp;keyword=size-12M&amp;searchBtn.x=0&amp;searchBtn.y=0</t>
  </si>
  <si>
    <t>/fs/lilietnene/c/albumdifamiglia</t>
  </si>
  <si>
    <t>/fs/lilietnene/c/babeandtess</t>
  </si>
  <si>
    <t>/fs/lilietnene/c/bonpoint</t>
  </si>
  <si>
    <t>/fs/lilietnene/c/bonton</t>
  </si>
  <si>
    <t>/fs/lilietnene/c/caramel</t>
  </si>
  <si>
    <t>/fs/lilietnene/c/christinarohde</t>
  </si>
  <si>
    <t>/fs/lilietnene/c/couprio</t>
  </si>
  <si>
    <t>/fs/lilietnene/c/emileetida</t>
  </si>
  <si>
    <t>/fs/lilietnene/c/gold</t>
  </si>
  <si>
    <t>/fs/lilietnene/c/hartford</t>
  </si>
  <si>
    <t>/fs/lilietnene/c/ketiketa</t>
  </si>
  <si>
    <t>/fs/lilietnene/c/makie</t>
  </si>
  <si>
    <t>/fs/lilietnene/c/minaperhonen</t>
  </si>
  <si>
    <t>/fs/lilietnene/c/pepe</t>
  </si>
  <si>
    <t>/fs/lilietnene/c/petitbateau</t>
  </si>
  <si>
    <t>/fs/lilietnene/c/zef</t>
  </si>
  <si>
    <t>/fs/lilietnene/c/item-k-dress-all</t>
  </si>
  <si>
    <t>/fs/lilietnene/c/item-k-tops-all</t>
  </si>
  <si>
    <t>/fs/lilietnene/c/item-k-bottoms-all</t>
  </si>
  <si>
    <t>/fs/lilietnene/c/item-k-inner-pajamas</t>
  </si>
  <si>
    <t>/fs/lilietnene/c/item-k-shoes-all</t>
  </si>
  <si>
    <t>/fs/lilietnene/c/item-k-acc-goods-all</t>
  </si>
  <si>
    <t>/fs/lilietnene/c/item-k-acc-goods-tights-socks</t>
  </si>
  <si>
    <t>/fs/lilietnene/c/item-k-bottoms-leggins</t>
  </si>
  <si>
    <t>/fs/lilietnene/c/item-k-outer-all</t>
  </si>
  <si>
    <t>/fs/lilietnene/c/item-k-swimwear</t>
  </si>
  <si>
    <t>/fs/lilietnene/c/repetto</t>
  </si>
  <si>
    <t>/fs/lilietnene/c/item-k-boys-all</t>
  </si>
  <si>
    <t>/fs/lilietnene/GoodsSearchList.html?_e_k=%82%60&amp;keyword=size-3A&amp;searchBtn.x=0&amp;searchBtn.y=0</t>
  </si>
  <si>
    <t>/fs/lilietnene/GoodsSearchList.html?_e_k=%82%60&amp;keyword=size-4A&amp;searchBtn.x=0&amp;searchBtn.y=0</t>
  </si>
  <si>
    <t>/fs/lilietnene/GoodsSearchList.html?_e_k=%82%60&amp;keyword=size-6A&amp;searchBtn.x=0&amp;searchBtn.y=0</t>
  </si>
  <si>
    <t>/fs/lilietnene/GoodsSearchList.html?_e_k=%82%60&amp;keyword=size-8A&amp;searchBtn.x=0&amp;searchBtn.y=0</t>
  </si>
  <si>
    <t>/fs/lilietnene/GoodsSearchList.html?_e_k=%82%60&amp;keyword=size-10A&amp;searchBtn.x=0&amp;searchBtn.y=0</t>
  </si>
  <si>
    <t>/fs/lilietnene/GoodsSearchList.html?_e_k=%82%60&amp;keyword=size-12A&amp;searchBtn.x=0&amp;searchBtn.y=0</t>
  </si>
  <si>
    <t>/fs/lilietnene/c/ao</t>
  </si>
  <si>
    <t>/fs/lilietnene/c/bellerose</t>
  </si>
  <si>
    <t>/fs/lilietnene/c/bensimon</t>
  </si>
  <si>
    <t>/fs/lilietnene/c/birkenstock</t>
  </si>
  <si>
    <t>/fs/lilietnene/c/labottegadigiorgia</t>
  </si>
  <si>
    <t>/fs/lilietnene/c/lavenham</t>
  </si>
  <si>
    <t>/fs/lilietnene/c/lescoyotesdeparis</t>
  </si>
  <si>
    <t>/fs/lilietnene/c/liberty</t>
  </si>
  <si>
    <t>/fs/lilietnene/c/nathalieverlinden</t>
  </si>
  <si>
    <t>/fs/lilietnene/c/novemb3r</t>
  </si>
  <si>
    <t>/fs/lilietnene/c/noro</t>
  </si>
  <si>
    <t>/fs/lilietnene/c/polder</t>
  </si>
  <si>
    <t>/fs/lilietnene/c/sansarcidet</t>
  </si>
  <si>
    <t>/fs/lilietnene/c/soeur</t>
  </si>
  <si>
    <t>item-l-acc-goods-bag</t>
  </si>
  <si>
    <t>item-l-acc-goods-scarf-stole</t>
  </si>
  <si>
    <t>/fs/lilietnene/c/anniel</t>
  </si>
  <si>
    <t>/fs/lilietnene/c/beaumont-o</t>
  </si>
  <si>
    <t>/fs/lilietnene/c/castaner</t>
  </si>
  <si>
    <t>/fs/lilietnene/c/cecileboccara</t>
  </si>
  <si>
    <t>/fs/lilietnene/c/chanluu</t>
  </si>
  <si>
    <t>/fs/lilietnene/c/charli</t>
  </si>
  <si>
    <t>/fs/lilietnene/c/dragon</t>
  </si>
  <si>
    <t>/fs/lilietnene/c/fabiorusconi</t>
  </si>
  <si>
    <t>/fs/lilietnene/c/falierosarti</t>
  </si>
  <si>
    <t>/fs/lilietnene/c/helenkaminski</t>
  </si>
  <si>
    <t>/fs/lilietnene/c/humanoid</t>
  </si>
  <si>
    <t>/fs/lilietnene/c/jaminpuech</t>
  </si>
  <si>
    <t>/fs/lilietnene/c/khadiandco</t>
  </si>
  <si>
    <t>/fs/lilietnene/c/majesticfilatures</t>
  </si>
  <si>
    <t>/fs/lilietnene/c/manuelleguibal</t>
  </si>
  <si>
    <t>/fs/lilietnene/c/mauricemanufacture</t>
  </si>
  <si>
    <t>/fs/lilietnene/c/meduse</t>
  </si>
  <si>
    <t>/fs/lilietnene/c/muhlbauer</t>
  </si>
  <si>
    <t>/fs/lilietnene/c/muun</t>
  </si>
  <si>
    <t>/fs/lilietnene/c/pip-squeakchapeau</t>
  </si>
  <si>
    <t>/fs/lilietnene/c/porselli</t>
  </si>
  <si>
    <t>/fs/lilietnene/c/sofiedhoore</t>
  </si>
  <si>
    <t>/fs/lilietnene/c/sophiedigard</t>
  </si>
  <si>
    <t>/fs/lilietnene/c/swildens</t>
  </si>
  <si>
    <t>/fs/lilietnene/c/tww</t>
  </si>
  <si>
    <t>/fs/lilietnene/c/tyamai</t>
  </si>
  <si>
    <t>/fs/lilietnene/c/coraltusk</t>
  </si>
  <si>
    <t>/fs/lilietnene/c/maconetlesquoy</t>
  </si>
  <si>
    <t>/fs/lilietnene/c/oeuf</t>
  </si>
  <si>
    <t>/fs/lilietnene/GoodsSearchList.html?_e_k=%82%60&amp;keyword=gift-baby&amp;searchBtn.x=0&amp;searchBtn.y=0</t>
  </si>
  <si>
    <t>/fs/lilietnene/GoodsSearchList.html?_e_k=%82%60&amp;keyword=gift-kids&amp;searchBtn.x=0&amp;searchBtn.y=0</t>
  </si>
  <si>
    <t>/fs/lilietnene/GoodsSearchList.html?_e_k=%82%60&amp;keyword=gift-women&amp;searchBtn.x=0&amp;searchBtn.y=0</t>
  </si>
  <si>
    <t>/fs/lilietnene/GoodsSearchList.html?_e_k=Ａ&amp;tag=gift-baby-price&amp;goodsno=&amp;keyword=&amp;minprice=100&amp;maxprice=3000&amp;searchBtn.x=0&amp;searchBtn.y=0</t>
  </si>
  <si>
    <t>/fs/lilietnene/GoodsSearchList.html?_e_k=Ａ&amp;tag=gift-baby-price&amp;goodsno=&amp;keyword=&amp;minprice=3001&amp;maxprice=5000&amp;searchBtn.x=0&amp;searchBtn.y=0</t>
  </si>
  <si>
    <t>/fs/lilietnene/GoodsSearchList.html?_e_k=Ａ&amp;tag=gift-baby-price&amp;goodsno=&amp;keyword=&amp;minprice=5001&amp;maxprice=8000&amp;searchBtn.x=0&amp;searchBtn.y=0</t>
  </si>
  <si>
    <t>/fs/lilietnene/GoodsSearchList.html?_e_k=Ａ&amp;tag=gift-baby-price&amp;goodsno=&amp;keyword=&amp;minprice=8001&amp;maxprice=10000&amp;searchBtn.x=0&amp;searchBtn.y=0</t>
  </si>
  <si>
    <t>/fs/lilietnene/GoodsSearchList.html?_e_k=Ａ&amp;tag=gift-baby-price&amp;goodsno=&amp;keyword=&amp;minprice=10001&amp;maxprice=15000&amp;searchBtn.x=0&amp;searchBtn.y=0</t>
  </si>
  <si>
    <t>/fs/lilietnene/GoodsSearchList.html?_e_k=Ａ&amp;tag=gift-baby-price&amp;goodsno=&amp;keyword=&amp;minprice=15001&amp;maxprice=20000&amp;searchBtn.x=0&amp;searchBtn.y=0</t>
  </si>
  <si>
    <t>/fs/lilietnene/GoodsSearchList.html?_e_k=Ａ&amp;tag=gift-baby-price&amp;goodsno=&amp;keyword=&amp;minprice=20001&amp;maxprice=200000&amp;searchBtn.x=0&amp;searchBtn.y=0</t>
  </si>
  <si>
    <t>オランダのデザイナーが展開するブランド「ANNE-CLAIR PETIT（アンクレール・プチ）」。独特なカラフルなカラーバリエーションや素朴の中にもトレンドが感じられるデザイン、そして手作りならではの優しい風合いが人気を集めています。</t>
  </si>
  <si>
    <t>BIOBU BY EKOBO</t>
  </si>
  <si>
    <t>ビオブ バイ エコボ</t>
  </si>
  <si>
    <t>EKOBO（エコボ）は、再生可能である天然素材、竹を使いデザインから製造の過程までをエコフレンドリーであることをコンセプトにしたホームアクセサリーや雑貨のブランド。モダンデザインと、職人の技を融合させ、ローカルからコミュニティーづくりに役立てている。</t>
  </si>
  <si>
    <t>BIOBU BY EKOBO ビオブ バイ エコボ</t>
  </si>
  <si>
    <t>コーラルアンドタスク</t>
  </si>
  <si>
    <t>ニューヨーク、ブルックリン発のブランド、コーラル＆タスク。ユニークな刺繍を施したシックで遊び心あるデザインのグッズです。ベビーギフトから大人のギフトまで！</t>
  </si>
  <si>
    <t>CORAL&amp;TUSK コーラルアンドタスク</t>
  </si>
  <si>
    <t>ENGEL</t>
  </si>
  <si>
    <t>エンゲル</t>
  </si>
  <si>
    <t>オランダ生まれのキッズ向け雑貨ブランドENGEL社（エンゲル）。パーティーグッズやペーパー雑貨を中心に特別な日をより華やかに、毎日の暮らしが楽しくなるアイテムを世界中に発信しています。</t>
  </si>
  <si>
    <t>ENGEL エンゲル</t>
  </si>
  <si>
    <t>ファビュラスガーランド</t>
  </si>
  <si>
    <t>ファビュラスガーランドは、パリで活躍するアーティストSophieCuvelierが展開するペーパーバナー。染色した紙を使用した深い色合いと温か味がパリでも人気を集めています。</t>
  </si>
  <si>
    <t>THE FABULOUS GARLANDS ファビュラスガーランド</t>
  </si>
  <si>
    <t>FOG LINEN WORK</t>
  </si>
  <si>
    <t>フォグ リネンワーク</t>
  </si>
  <si>
    <t>ナチュラルで素朴な味わいのあるfog linen work。上質ながらも生活にスッと溶け込むシンプルなアイテムが人気です。</t>
  </si>
  <si>
    <t>FOG LINEN WORK フォグ リネンワーク</t>
  </si>
  <si>
    <t>gg*</t>
  </si>
  <si>
    <t>ジジ</t>
  </si>
  <si>
    <t>木のおもちゃをはじめとする"こども"に親しまれるものをつくる2人組。安全基準や品質、素材にこだわって作られるおもちゃは、愛情に溢れたあたたかい雰囲気にあふれています。</t>
  </si>
  <si>
    <t>gg* ジジ</t>
  </si>
  <si>
    <t>g</t>
  </si>
  <si>
    <t>GLUCKSKAFER</t>
  </si>
  <si>
    <t>グリュックスケーファー</t>
  </si>
  <si>
    <t>1945年にドイツで設立され、上質で子供に優しいオモチャを作り続け、ヨーロッパの保育園や幼稚園でも愛用されています。シンプルでいながらも安心した使い心地が人気です。</t>
  </si>
  <si>
    <t>GLUCKSKAFER グリュックスケーファー</t>
  </si>
  <si>
    <t>HUBSCH</t>
  </si>
  <si>
    <t>ヒュプシュ</t>
  </si>
  <si>
    <t>HUBSCH ヒュプシュ</t>
  </si>
  <si>
    <t>IRIS HANTVERK</t>
  </si>
  <si>
    <t>イリスハントバーク</t>
  </si>
  <si>
    <t>100年以上の歴史をもつスウェーデンのメーカー、イリス・ハントバーク。職人のハンドメイドによるハイクオリティな製品は、国内で活躍する若手デザイナーを起用しているので伝統的でありながらモダンな北欧らしいデザインになっています。</t>
  </si>
  <si>
    <t>IRIS HANTVERK イリスハントバーク</t>
  </si>
  <si>
    <t>KALLISTO</t>
  </si>
  <si>
    <t>カリスト</t>
  </si>
  <si>
    <t>ベルリンの工房で作られるカリストのテディベアは、自然素材を用いてハンドメイドで丁寧に作られています。小さな工房ながら、1995年ヨーロッパ全土のぬいぐるみの品質検査コンペで１位を獲得。ヨーロッパが誇る指折りのぬいぐるみメーカー。</t>
  </si>
  <si>
    <t>KALLISTO カリスト</t>
  </si>
  <si>
    <t>KATHE KRUSE</t>
  </si>
  <si>
    <t>ケテクルーゼ</t>
  </si>
  <si>
    <t>KATHE KRUSE ケテクルーゼ</t>
  </si>
  <si>
    <t>KIENER</t>
  </si>
  <si>
    <t>キーナー</t>
  </si>
  <si>
    <t>カトリン・キーナーが1973年にスイスで創業したおもちゃ作りの会社。チューリッヒ郊外にある木工所で手作りされたオモチャは、子どもたちの好きなのりものや動物、身近なものをモチーフに、素朴で温か味があり、今ではヨーロッパをはじめ世界中の子供たちに愛されています。</t>
  </si>
  <si>
    <t>KIENER キーナー</t>
  </si>
  <si>
    <t>KIKO+</t>
  </si>
  <si>
    <t>キコ</t>
  </si>
  <si>
    <t>2011年１月 フランス パリで開催されたメゾン・エ・オブジェで発表しデビューした木製玩具やこども雑貨のブランドkiko+（キコ）。こどもたちの成長に合わせた、ゆたかな個性を育むユニークであたたかなおもちゃが特徴です。</t>
  </si>
  <si>
    <t>KIKO+ キコ</t>
  </si>
  <si>
    <t>KOESEN</t>
  </si>
  <si>
    <t>ケーセン</t>
  </si>
  <si>
    <t>ドイツで一番美しい動物のぬいぐるみを作っていると言われるケーセン社は1912年に創業。実際の動物を描いたスケッチを元に型紙を制作し、１つ１つ手作りによって作られており、今や世界でもっとも注目されているぬいぐるみメーカーとして定評を得ています。</t>
  </si>
  <si>
    <t>KOESEN ケーセン</t>
  </si>
  <si>
    <t>LA CERISE SUR LE GATEAU</t>
  </si>
  <si>
    <t>ラスリーズスールガトー</t>
  </si>
  <si>
    <t>LA CERISE SUR LE GATEAU ラスリーズスールガトー</t>
  </si>
  <si>
    <t>LYRA</t>
  </si>
  <si>
    <t>リラ</t>
  </si>
  <si>
    <t>創業200年の歴史を持つ鉛筆作りのマイスターです。現代教育学・人間工学に基づいて作られた丸みのある三角形の紺フォートグリップが特徴です。手の小さい方や左利きの方にはもちろんのこと、あらゆる方々に満足できる描き心地をお届けします。</t>
  </si>
  <si>
    <t>LYRA リラ</t>
  </si>
  <si>
    <t>マコンレスコア</t>
  </si>
  <si>
    <t>2人のフランス人デザイナーが手掛けるアクセサリーブランド。マコン&amp;レスコアの伝統的なヨーロッパの刺繍技術は、アーミーの勲章に使われていたもので職人技が光る逸品。ブローチなどのアクセサリーが揃います。</t>
  </si>
  <si>
    <t>MACON ET LESQUOY マコンレスコア</t>
  </si>
  <si>
    <t>MIMI LOU</t>
  </si>
  <si>
    <t>ミミルゥ</t>
  </si>
  <si>
    <t>フランス・パリ発！お部屋を彩るウォールステッカーデザインMIMI´lou（ミミ・ルゥ） 。カラフルな色合いやキュートなデザインでパリでも人気です。 キッズルームだけではなくインテリアとしても楽しめます。</t>
  </si>
  <si>
    <t>MIMI LOU ミミルゥ</t>
  </si>
  <si>
    <t>MUSKHANE</t>
  </si>
  <si>
    <t>ムスカン</t>
  </si>
  <si>
    <t>MUSKHANE ムスカン</t>
  </si>
  <si>
    <t>MY LITTLE DAY</t>
  </si>
  <si>
    <t>マイリトルデイ</t>
  </si>
  <si>
    <t>個性的でキュートなキッズ向けのパーティグッズを扱うMY LITTLE DAY(マイリトルデイ)。</t>
  </si>
  <si>
    <t>/fs/lilietnene/c/mylittleday</t>
  </si>
  <si>
    <t>MY LITTLE DAY マイリトルデイ</t>
  </si>
  <si>
    <t>ネフ</t>
  </si>
  <si>
    <t>1958年、創業者であるクルト・ネフ氏がネフスピールを世に出し一躍有名に。子供が遊びながら感覚や想像力を学ぶことができる知育玩具として世界中から親しまれています。</t>
  </si>
  <si>
    <t>NAEF ネフ</t>
  </si>
  <si>
    <t>ナタリーレテ</t>
  </si>
  <si>
    <t>1964年パリ生まれのイラストレーターナタリー・レテ。ユニークでカラフルな彼女の作品は、ヴィンテージトイから影響を受けているという懐かしい風合いのある作品は、絶賛を浴び、シャネルやラガーフェルトのショーウィンドウのディスプレイを手掛ける。</t>
  </si>
  <si>
    <t>NATHALIE LETE ナタリーレテ</t>
  </si>
  <si>
    <t>NIC</t>
  </si>
  <si>
    <t>ニック</t>
  </si>
  <si>
    <t>NIC ニック</t>
  </si>
  <si>
    <t>NUMERO 74</t>
  </si>
  <si>
    <t>ヌメロ</t>
  </si>
  <si>
    <t>NUMERO74はイタリア人とフランス人のいとこ同士のデザイナーによるイタリアのハンドメイドテキスタイルを使ったブランド。日々の生活にポエティックなエッセンスを加え、子供時代の夢を思い起こさせるようなイマジネーションあふれるアイテムが特徴的。</t>
  </si>
  <si>
    <t>NUMERO 74 ヌメロ</t>
  </si>
  <si>
    <t>ウフ</t>
  </si>
  <si>
    <t>N.Yのベビー・キッズブランドoeuf（ウフ）。「上質であること、実用的で機能的であること」を最優先に、シンプルでスタイリッシュ、そしてユーモアのあるアイテムが魅力のブランドです。</t>
  </si>
  <si>
    <t>OEUF ウフ</t>
  </si>
  <si>
    <t>PETIT PAN</t>
  </si>
  <si>
    <t>プチパン</t>
  </si>
  <si>
    <t>アジアミックスのテキスタイルがパリで人気の「Petit pan」。 カラフルなインテリアグッズや子供服などポップでキュートなキッズアイテムを展開しています。</t>
  </si>
  <si>
    <t>PETIT PAN プチパン</t>
  </si>
  <si>
    <t>RICE</t>
  </si>
  <si>
    <t>ライス</t>
  </si>
  <si>
    <t>デザイナーのシャーロットと夫の フィリップ によって、デンマークで生まれたカラフルなインテリア雑貨ブランド「ライス」。メラミン食器は、カラーバリエーションが豊富で、普段使いはもちろん、パーティーやピクニック、バーベキューにも最適です。</t>
  </si>
  <si>
    <t>RICE ライス</t>
  </si>
  <si>
    <t>センガー</t>
  </si>
  <si>
    <t>ドイツに1985年に設立されたSENGER（ゼンガー）社。グリム童話で有名なグリム兄弟がお話を集めたババリア地方にあります。そこでは自然の中で生きる動物たちを目にすることができ、その動物たちの特徴はぬいぐるみのデザインに活かされています。</t>
  </si>
  <si>
    <t>SENGER センガー</t>
  </si>
  <si>
    <t>サイアンベベ</t>
  </si>
  <si>
    <t>イタリアで1922年に創立したサイアン社はベビー用ソープを中心に、ナチュラルで安心な製品を生産してきました。可愛いパッケージも人気です。</t>
  </si>
  <si>
    <t>ジーナ</t>
  </si>
  <si>
    <t>ドイツのノイハウゼンで1991年に創業したジーナ社は、森林で育った健康なブナ材を多く使用し、子供達に安心な玩具を生産しています。その上質な玩具は数々の賞も受けており、ヨーロッパのみならず世界中で愛されています</t>
  </si>
  <si>
    <t>SINA ジーナ</t>
  </si>
  <si>
    <t>STOCKMAR</t>
  </si>
  <si>
    <t>シュトックマー</t>
  </si>
  <si>
    <t>ドイツの画材メーカーSTOCKMAR。シュタイナー学校の先生方と協力し、蜜ろうクレヨン、蜜ろう粘土、水彩絵の具を開発してきました。より洗練された製品作りを目指して常に改良を重ね、子どもたちが良質な体験ができるように今も努力を続けています。</t>
  </si>
  <si>
    <t>STOCKMAR シュトックマー</t>
  </si>
  <si>
    <t>タマーモーゲンドルフ</t>
  </si>
  <si>
    <t>動物・鳥など様々なモチーフを表情豊かに作り出す、TamarMogendorff。独創性と雰囲気のあるカラーリングが見るものを魅了します。</t>
  </si>
  <si>
    <t>TAMAR MOGENDORFF タマーモーゲンドルフ</t>
  </si>
  <si>
    <t>トラセリア</t>
  </si>
  <si>
    <t>1973年にフランスで誕生したトラセリアは「生活をアートする」というコンセプトのもと、シンプルなもの創りにより、常に高い人気を得ています。商品は全てヨーロッパの安全基準である「ＣＥ」に合格しているのでお子様にも安心してお使い頂けます</t>
  </si>
  <si>
    <t>TROUSSELIER トラセリア</t>
  </si>
  <si>
    <t>VILAC</t>
  </si>
  <si>
    <t>ヴィラック</t>
  </si>
  <si>
    <t>フランスの歴史ある木製オモチャのVILACは良質な木を使い、職人たちによって作られています。その温か味ある風合いとデザイン性や安全性など各国から高い評価を受けております。</t>
  </si>
  <si>
    <t>VILAC ヴィラック</t>
  </si>
  <si>
    <t>V</t>
  </si>
  <si>
    <t>WOOLRICH</t>
  </si>
  <si>
    <t>ウールリッチ</t>
  </si>
  <si>
    <t>/fs/lilietnene/c/woolrich</t>
  </si>
  <si>
    <t>WOOLRICH ウールリッチ</t>
  </si>
  <si>
    <t>index.arrivals.0.category</t>
  </si>
  <si>
    <t>index.arrivals.0.update</t>
  </si>
  <si>
    <t>index.arrivals.0.summary</t>
  </si>
  <si>
    <t>index.arrivals.0.img</t>
  </si>
  <si>
    <t>index.arrivals.0.url</t>
  </si>
  <si>
    <t>index.arrivals.0.alt</t>
  </si>
  <si>
    <t>index.collection.0.update</t>
  </si>
  <si>
    <t>index.collection.0.summary</t>
  </si>
  <si>
    <t>index.collection.0.img</t>
  </si>
  <si>
    <t>index.collection.0.url</t>
  </si>
  <si>
    <t>index.collection.0.alt</t>
  </si>
  <si>
    <t>index.brands.0.name</t>
  </si>
  <si>
    <t>index.brands.0.summary</t>
  </si>
  <si>
    <t>index.brands.0.url</t>
  </si>
  <si>
    <t>index.brands.0.img</t>
  </si>
  <si>
    <t>index.brands.0.alt</t>
  </si>
  <si>
    <t>index.blog.0.update</t>
  </si>
  <si>
    <t>index.blog.0.summary</t>
  </si>
  <si>
    <t>index.blog.0.img</t>
  </si>
  <si>
    <t>index.blog.0.url</t>
  </si>
  <si>
    <t>index.blog.0.alt</t>
  </si>
  <si>
    <t>baby.hero.0.url</t>
  </si>
  <si>
    <t>baby.hero.0.img</t>
  </si>
  <si>
    <t>baby.hero.0.alt</t>
  </si>
  <si>
    <t>baby.item.0.name</t>
  </si>
  <si>
    <t>baby.item.0.url</t>
  </si>
  <si>
    <t>baby.brand.0.name</t>
  </si>
  <si>
    <t>baby.brand.0.kana</t>
  </si>
  <si>
    <t>baby.brand.0.description</t>
  </si>
  <si>
    <t>baby.brand.0.url</t>
  </si>
  <si>
    <t>baby.brand.0.img</t>
  </si>
  <si>
    <t>baby.brand.0.alt</t>
  </si>
  <si>
    <t>kids.hero.0.url</t>
  </si>
  <si>
    <t>kids.hero.0.img</t>
  </si>
  <si>
    <t>kids.hero.0.alt</t>
  </si>
  <si>
    <t>kids.item.0.name</t>
  </si>
  <si>
    <t>kids.item.0.url</t>
  </si>
  <si>
    <t>kids.brand.0.name</t>
  </si>
  <si>
    <t>kids.brand.0.kana</t>
  </si>
  <si>
    <t>kids.brand.0.description</t>
  </si>
  <si>
    <t>kids.brand.0.url</t>
  </si>
  <si>
    <t>kids.brand.0.img</t>
  </si>
  <si>
    <t>kids.brand.0.alt</t>
  </si>
  <si>
    <t>woman.item.0.name</t>
  </si>
  <si>
    <t>woman.item.0.url</t>
  </si>
  <si>
    <t>woman.item.0.alt</t>
  </si>
  <si>
    <t>woman.brand.0.name</t>
  </si>
  <si>
    <t>woman.brand.0.kana</t>
  </si>
  <si>
    <t>woman.brand.0.description</t>
  </si>
  <si>
    <t>woman.brand.0.url</t>
  </si>
  <si>
    <t>woman.brand.0.img</t>
  </si>
  <si>
    <t>woman.brand.0.alt</t>
  </si>
  <si>
    <t>brands.index.0.name</t>
  </si>
  <si>
    <t>brands.index.0.kana</t>
  </si>
  <si>
    <t>brands.index.0.description</t>
  </si>
  <si>
    <t>brands.index.0.url</t>
  </si>
  <si>
    <t>brands.index.0.img</t>
  </si>
  <si>
    <t>brands.index.0.alt</t>
  </si>
  <si>
    <t>brands.index.0.category</t>
  </si>
  <si>
    <t>index.arrivals.1.category</t>
  </si>
  <si>
    <t>index.arrivals.1.update</t>
  </si>
  <si>
    <t>index.arrivals.1.summary</t>
  </si>
  <si>
    <t>index.arrivals.1.img</t>
  </si>
  <si>
    <t>index.arrivals.1.url</t>
  </si>
  <si>
    <t>index.arrivals.1.alt</t>
  </si>
  <si>
    <t>index.arrivals.2.category</t>
  </si>
  <si>
    <t>index.arrivals.2.update</t>
  </si>
  <si>
    <t>index.arrivals.2.summary</t>
  </si>
  <si>
    <t>index.arrivals.2.img</t>
  </si>
  <si>
    <t>index.arrivals.2.url</t>
  </si>
  <si>
    <t>index.arrivals.2.alt</t>
  </si>
  <si>
    <t>index.collection.1.update</t>
  </si>
  <si>
    <t>index.collection.1.summary</t>
  </si>
  <si>
    <t>index.collection.1.img</t>
  </si>
  <si>
    <t>index.collection.1.url</t>
  </si>
  <si>
    <t>index.collection.1.alt</t>
  </si>
  <si>
    <t>index.brands.1.name</t>
  </si>
  <si>
    <t>index.brands.1.summary</t>
  </si>
  <si>
    <t>index.brands.1.url</t>
  </si>
  <si>
    <t>index.brands.1.img</t>
  </si>
  <si>
    <t>index.brands.1.alt</t>
  </si>
  <si>
    <t>index.brands.2.name</t>
  </si>
  <si>
    <t>index.brands.2.summary</t>
  </si>
  <si>
    <t>index.brands.2.url</t>
  </si>
  <si>
    <t>index.brands.2.img</t>
  </si>
  <si>
    <t>index.brands.2.alt</t>
  </si>
  <si>
    <t>index.brands.3.name</t>
  </si>
  <si>
    <t>index.brands.3.summary</t>
  </si>
  <si>
    <t>index.brands.3.url</t>
  </si>
  <si>
    <t>index.brands.3.img</t>
  </si>
  <si>
    <t>index.brands.3.alt</t>
  </si>
  <si>
    <t>index.brands.4.name</t>
  </si>
  <si>
    <t>index.brands.4.summary</t>
  </si>
  <si>
    <t>index.brands.4.url</t>
  </si>
  <si>
    <t>index.brands.4.img</t>
  </si>
  <si>
    <t>index.brands.4.alt</t>
  </si>
  <si>
    <t>index.brands.5.name</t>
  </si>
  <si>
    <t>index.brands.5.summary</t>
  </si>
  <si>
    <t>index.brands.5.url</t>
  </si>
  <si>
    <t>index.brands.5.img</t>
  </si>
  <si>
    <t>index.brands.5.alt</t>
  </si>
  <si>
    <t>index.blog.1.update</t>
  </si>
  <si>
    <t>index.blog.1.summary</t>
  </si>
  <si>
    <t>index.blog.1.img</t>
  </si>
  <si>
    <t>index.blog.1.url</t>
  </si>
  <si>
    <t>index.blog.1.alt</t>
  </si>
  <si>
    <t>baby.item.1.name</t>
  </si>
  <si>
    <t>baby.item.1.url</t>
  </si>
  <si>
    <t>baby.item.2.name</t>
  </si>
  <si>
    <t>baby.item.2.url</t>
  </si>
  <si>
    <t>baby.item.3.name</t>
  </si>
  <si>
    <t>baby.item.3.url</t>
  </si>
  <si>
    <t>baby.item.4.name</t>
  </si>
  <si>
    <t>baby.item.4.url</t>
  </si>
  <si>
    <t>baby.item.5.name</t>
  </si>
  <si>
    <t>baby.item.5.url</t>
  </si>
  <si>
    <t>baby.item.6.name</t>
  </si>
  <si>
    <t>baby.item.6.url</t>
  </si>
  <si>
    <t>baby.item.7.name</t>
  </si>
  <si>
    <t>baby.item.7.url</t>
  </si>
  <si>
    <t>baby.item.8.name</t>
  </si>
  <si>
    <t>baby.item.8.url</t>
  </si>
  <si>
    <t>baby.item.9.name</t>
  </si>
  <si>
    <t>baby.item.9.url</t>
  </si>
  <si>
    <t>baby.item.10.name</t>
  </si>
  <si>
    <t>baby.item.10.url</t>
  </si>
  <si>
    <t>baby.item.11.name</t>
  </si>
  <si>
    <t>baby.item.11.url</t>
  </si>
  <si>
    <t>baby.brand.1.name</t>
  </si>
  <si>
    <t>baby.brand.1.kana</t>
  </si>
  <si>
    <t>baby.brand.1.description</t>
  </si>
  <si>
    <t>baby.brand.1.url</t>
  </si>
  <si>
    <t>baby.brand.1.img</t>
  </si>
  <si>
    <t>baby.brand.1.alt</t>
  </si>
  <si>
    <t>baby.brand.2.name</t>
  </si>
  <si>
    <t>baby.brand.2.kana</t>
  </si>
  <si>
    <t>baby.brand.2.description</t>
  </si>
  <si>
    <t>baby.brand.2.url</t>
  </si>
  <si>
    <t>baby.brand.2.img</t>
  </si>
  <si>
    <t>baby.brand.2.alt</t>
  </si>
  <si>
    <t>baby.brand.3.name</t>
  </si>
  <si>
    <t>baby.brand.3.kana</t>
  </si>
  <si>
    <t>baby.brand.3.description</t>
  </si>
  <si>
    <t>baby.brand.3.url</t>
  </si>
  <si>
    <t>baby.brand.3.img</t>
  </si>
  <si>
    <t>baby.brand.3.alt</t>
  </si>
  <si>
    <t>baby.brand.4.name</t>
  </si>
  <si>
    <t>baby.brand.4.kana</t>
  </si>
  <si>
    <t>baby.brand.4.description</t>
  </si>
  <si>
    <t>baby.brand.4.url</t>
  </si>
  <si>
    <t>baby.brand.4.img</t>
  </si>
  <si>
    <t>baby.brand.4.alt</t>
  </si>
  <si>
    <t>baby.brand.5.name</t>
  </si>
  <si>
    <t>baby.brand.5.kana</t>
  </si>
  <si>
    <t>baby.brand.5.description</t>
  </si>
  <si>
    <t>baby.brand.5.url</t>
  </si>
  <si>
    <t>baby.brand.5.img</t>
  </si>
  <si>
    <t>baby.brand.5.alt</t>
  </si>
  <si>
    <t>baby.brand.6.name</t>
  </si>
  <si>
    <t>baby.brand.6.kana</t>
  </si>
  <si>
    <t>baby.brand.6.description</t>
  </si>
  <si>
    <t>baby.brand.6.url</t>
  </si>
  <si>
    <t>baby.brand.6.img</t>
  </si>
  <si>
    <t>baby.brand.6.alt</t>
  </si>
  <si>
    <t>baby.brand.7.name</t>
  </si>
  <si>
    <t>baby.brand.7.kana</t>
  </si>
  <si>
    <t>baby.brand.7.description</t>
  </si>
  <si>
    <t>baby.brand.7.url</t>
  </si>
  <si>
    <t>baby.brand.7.img</t>
  </si>
  <si>
    <t>baby.brand.7.alt</t>
  </si>
  <si>
    <t>baby.brand.8.name</t>
  </si>
  <si>
    <t>baby.brand.8.kana</t>
  </si>
  <si>
    <t>baby.brand.8.description</t>
  </si>
  <si>
    <t>baby.brand.8.url</t>
  </si>
  <si>
    <t>baby.brand.8.img</t>
  </si>
  <si>
    <t>baby.brand.8.alt</t>
  </si>
  <si>
    <t>baby.brand.9.name</t>
  </si>
  <si>
    <t>baby.brand.9.kana</t>
  </si>
  <si>
    <t>baby.brand.9.description</t>
  </si>
  <si>
    <t>baby.brand.9.url</t>
  </si>
  <si>
    <t>baby.brand.9.img</t>
  </si>
  <si>
    <t>baby.brand.9.alt</t>
  </si>
  <si>
    <t>baby.brand.10.name</t>
  </si>
  <si>
    <t>baby.brand.10.kana</t>
  </si>
  <si>
    <t>baby.brand.10.description</t>
  </si>
  <si>
    <t>baby.brand.10.url</t>
  </si>
  <si>
    <t>baby.brand.10.img</t>
  </si>
  <si>
    <t>baby.brand.10.alt</t>
  </si>
  <si>
    <t>baby.brand.11.name</t>
  </si>
  <si>
    <t>baby.brand.11.kana</t>
  </si>
  <si>
    <t>baby.brand.11.description</t>
  </si>
  <si>
    <t>baby.brand.11.url</t>
  </si>
  <si>
    <t>baby.brand.11.img</t>
  </si>
  <si>
    <t>baby.brand.11.alt</t>
  </si>
  <si>
    <t>baby.brand.12.name</t>
  </si>
  <si>
    <t>baby.brand.12.kana</t>
  </si>
  <si>
    <t>baby.brand.12.description</t>
  </si>
  <si>
    <t>baby.brand.12.url</t>
  </si>
  <si>
    <t>baby.brand.12.img</t>
  </si>
  <si>
    <t>baby.brand.12.alt</t>
  </si>
  <si>
    <t>baby.brand.13.name</t>
  </si>
  <si>
    <t>baby.brand.13.kana</t>
  </si>
  <si>
    <t>baby.brand.13.description</t>
  </si>
  <si>
    <t>baby.brand.13.url</t>
  </si>
  <si>
    <t>baby.brand.13.img</t>
  </si>
  <si>
    <t>baby.brand.13.alt</t>
  </si>
  <si>
    <t>kids.item.1.name</t>
  </si>
  <si>
    <t>kids.item.1.url</t>
  </si>
  <si>
    <t>kids.item.2.name</t>
  </si>
  <si>
    <t>kids.item.2.url</t>
  </si>
  <si>
    <t>kids.item.3.name</t>
  </si>
  <si>
    <t>kids.item.3.url</t>
  </si>
  <si>
    <t>kids.item.4.name</t>
  </si>
  <si>
    <t>kids.item.4.url</t>
  </si>
  <si>
    <t>kids.item.5.name</t>
  </si>
  <si>
    <t>kids.item.5.url</t>
  </si>
  <si>
    <t>kids.item.6.name</t>
  </si>
  <si>
    <t>kids.item.6.url</t>
  </si>
  <si>
    <t>kids.item.7.name</t>
  </si>
  <si>
    <t>kids.item.7.url</t>
  </si>
  <si>
    <t>kids.item.8.name</t>
  </si>
  <si>
    <t>kids.item.8.url</t>
  </si>
  <si>
    <t>kids.item.9.name</t>
  </si>
  <si>
    <t>kids.item.9.url</t>
  </si>
  <si>
    <t>kids.item.10.name</t>
  </si>
  <si>
    <t>kids.item.10.url</t>
  </si>
  <si>
    <t>kids.item.11.name</t>
  </si>
  <si>
    <t>kids.item.11.url</t>
  </si>
  <si>
    <t>kids.brand.1.name</t>
  </si>
  <si>
    <t>kids.brand.1.kana</t>
  </si>
  <si>
    <t>kids.brand.1.description</t>
  </si>
  <si>
    <t>kids.brand.1.url</t>
  </si>
  <si>
    <t>kids.brand.1.img</t>
  </si>
  <si>
    <t>kids.brand.1.alt</t>
  </si>
  <si>
    <t>kids.brand.2.name</t>
  </si>
  <si>
    <t>kids.brand.2.kana</t>
  </si>
  <si>
    <t>kids.brand.2.description</t>
  </si>
  <si>
    <t>kids.brand.2.url</t>
  </si>
  <si>
    <t>kids.brand.2.img</t>
  </si>
  <si>
    <t>kids.brand.2.alt</t>
  </si>
  <si>
    <t>kids.brand.3.name</t>
  </si>
  <si>
    <t>kids.brand.3.kana</t>
  </si>
  <si>
    <t>kids.brand.3.description</t>
  </si>
  <si>
    <t>kids.brand.3.url</t>
  </si>
  <si>
    <t>kids.brand.3.img</t>
  </si>
  <si>
    <t>kids.brand.3.alt</t>
  </si>
  <si>
    <t>kids.brand.4.name</t>
  </si>
  <si>
    <t>kids.brand.4.kana</t>
  </si>
  <si>
    <t>kids.brand.4.description</t>
  </si>
  <si>
    <t>kids.brand.4.url</t>
  </si>
  <si>
    <t>kids.brand.4.img</t>
  </si>
  <si>
    <t>kids.brand.4.alt</t>
  </si>
  <si>
    <t>kids.brand.5.name</t>
  </si>
  <si>
    <t>kids.brand.5.kana</t>
  </si>
  <si>
    <t>kids.brand.5.description</t>
  </si>
  <si>
    <t>kids.brand.5.url</t>
  </si>
  <si>
    <t>kids.brand.5.img</t>
  </si>
  <si>
    <t>kids.brand.5.alt</t>
  </si>
  <si>
    <t>kids.brand.6.name</t>
  </si>
  <si>
    <t>kids.brand.6.kana</t>
  </si>
  <si>
    <t>kids.brand.6.description</t>
  </si>
  <si>
    <t>kids.brand.6.url</t>
  </si>
  <si>
    <t>kids.brand.6.img</t>
  </si>
  <si>
    <t>kids.brand.6.alt</t>
  </si>
  <si>
    <t>kids.brand.7.name</t>
  </si>
  <si>
    <t>kids.brand.7.kana</t>
  </si>
  <si>
    <t>kids.brand.7.description</t>
  </si>
  <si>
    <t>kids.brand.7.url</t>
  </si>
  <si>
    <t>kids.brand.7.img</t>
  </si>
  <si>
    <t>kids.brand.7.alt</t>
  </si>
  <si>
    <t>kids.brand.8.name</t>
  </si>
  <si>
    <t>kids.brand.8.kana</t>
  </si>
  <si>
    <t>kids.brand.8.description</t>
  </si>
  <si>
    <t>kids.brand.8.url</t>
  </si>
  <si>
    <t>kids.brand.8.img</t>
  </si>
  <si>
    <t>kids.brand.8.alt</t>
  </si>
  <si>
    <t>kids.brand.9.name</t>
  </si>
  <si>
    <t>kids.brand.9.kana</t>
  </si>
  <si>
    <t>kids.brand.9.description</t>
  </si>
  <si>
    <t>kids.brand.9.url</t>
  </si>
  <si>
    <t>kids.brand.9.img</t>
  </si>
  <si>
    <t>kids.brand.9.alt</t>
  </si>
  <si>
    <t>kids.brand.10.name</t>
  </si>
  <si>
    <t>kids.brand.10.kana</t>
  </si>
  <si>
    <t>kids.brand.10.description</t>
  </si>
  <si>
    <t>kids.brand.10.url</t>
  </si>
  <si>
    <t>kids.brand.10.img</t>
  </si>
  <si>
    <t>kids.brand.10.alt</t>
  </si>
  <si>
    <t>kids.brand.11.name</t>
  </si>
  <si>
    <t>kids.brand.11.kana</t>
  </si>
  <si>
    <t>kids.brand.11.description</t>
  </si>
  <si>
    <t>kids.brand.11.url</t>
  </si>
  <si>
    <t>kids.brand.11.img</t>
  </si>
  <si>
    <t>kids.brand.11.alt</t>
  </si>
  <si>
    <t>kids.brand.12.name</t>
  </si>
  <si>
    <t>kids.brand.12.kana</t>
  </si>
  <si>
    <t>kids.brand.12.description</t>
  </si>
  <si>
    <t>kids.brand.12.url</t>
  </si>
  <si>
    <t>kids.brand.12.img</t>
  </si>
  <si>
    <t>kids.brand.12.alt</t>
  </si>
  <si>
    <t>kids.brand.13.name</t>
  </si>
  <si>
    <t>kids.brand.13.kana</t>
  </si>
  <si>
    <t>kids.brand.13.description</t>
  </si>
  <si>
    <t>kids.brand.13.url</t>
  </si>
  <si>
    <t>kids.brand.13.img</t>
  </si>
  <si>
    <t>kids.brand.13.alt</t>
  </si>
  <si>
    <t>kids.brand.14.name</t>
  </si>
  <si>
    <t>kids.brand.14.kana</t>
  </si>
  <si>
    <t>kids.brand.14.description</t>
  </si>
  <si>
    <t>kids.brand.14.url</t>
  </si>
  <si>
    <t>kids.brand.14.img</t>
  </si>
  <si>
    <t>kids.brand.14.alt</t>
  </si>
  <si>
    <t>kids.brand.15.name</t>
  </si>
  <si>
    <t>kids.brand.15.kana</t>
  </si>
  <si>
    <t>kids.brand.15.description</t>
  </si>
  <si>
    <t>kids.brand.15.url</t>
  </si>
  <si>
    <t>kids.brand.15.img</t>
  </si>
  <si>
    <t>kids.brand.15.alt</t>
  </si>
  <si>
    <t>kids.brand.16.name</t>
  </si>
  <si>
    <t>kids.brand.16.kana</t>
  </si>
  <si>
    <t>kids.brand.16.description</t>
  </si>
  <si>
    <t>kids.brand.16.url</t>
  </si>
  <si>
    <t>kids.brand.16.img</t>
  </si>
  <si>
    <t>kids.brand.16.alt</t>
  </si>
  <si>
    <t>kids.brand.17.name</t>
  </si>
  <si>
    <t>kids.brand.17.kana</t>
  </si>
  <si>
    <t>kids.brand.17.description</t>
  </si>
  <si>
    <t>kids.brand.17.url</t>
  </si>
  <si>
    <t>kids.brand.17.img</t>
  </si>
  <si>
    <t>kids.brand.17.alt</t>
  </si>
  <si>
    <t>kids.brand.18.name</t>
  </si>
  <si>
    <t>kids.brand.18.kana</t>
  </si>
  <si>
    <t>kids.brand.18.description</t>
  </si>
  <si>
    <t>kids.brand.18.url</t>
  </si>
  <si>
    <t>kids.brand.18.img</t>
  </si>
  <si>
    <t>kids.brand.18.alt</t>
  </si>
  <si>
    <t>kids.brand.19.name</t>
  </si>
  <si>
    <t>kids.brand.19.kana</t>
  </si>
  <si>
    <t>kids.brand.19.description</t>
  </si>
  <si>
    <t>kids.brand.19.url</t>
  </si>
  <si>
    <t>kids.brand.19.img</t>
  </si>
  <si>
    <t>kids.brand.19.alt</t>
  </si>
  <si>
    <t>kids.brand.20.name</t>
  </si>
  <si>
    <t>kids.brand.20.kana</t>
  </si>
  <si>
    <t>kids.brand.20.description</t>
  </si>
  <si>
    <t>kids.brand.20.url</t>
  </si>
  <si>
    <t>kids.brand.20.img</t>
  </si>
  <si>
    <t>kids.brand.20.alt</t>
  </si>
  <si>
    <t>kids.brand.21.name</t>
  </si>
  <si>
    <t>kids.brand.21.kana</t>
  </si>
  <si>
    <t>kids.brand.21.description</t>
  </si>
  <si>
    <t>kids.brand.21.url</t>
  </si>
  <si>
    <t>kids.brand.21.img</t>
  </si>
  <si>
    <t>kids.brand.21.alt</t>
  </si>
  <si>
    <t>kids.brand.22.name</t>
  </si>
  <si>
    <t>kids.brand.22.kana</t>
  </si>
  <si>
    <t>kids.brand.22.description</t>
  </si>
  <si>
    <t>kids.brand.22.url</t>
  </si>
  <si>
    <t>kids.brand.22.img</t>
  </si>
  <si>
    <t>kids.brand.22.alt</t>
  </si>
  <si>
    <t>kids.brand.23.name</t>
  </si>
  <si>
    <t>kids.brand.23.kana</t>
  </si>
  <si>
    <t>kids.brand.23.description</t>
  </si>
  <si>
    <t>kids.brand.23.url</t>
  </si>
  <si>
    <t>kids.brand.23.img</t>
  </si>
  <si>
    <t>kids.brand.23.alt</t>
  </si>
  <si>
    <t>kids.brand.24.name</t>
  </si>
  <si>
    <t>kids.brand.24.kana</t>
  </si>
  <si>
    <t>kids.brand.24.description</t>
  </si>
  <si>
    <t>kids.brand.24.url</t>
  </si>
  <si>
    <t>kids.brand.24.img</t>
  </si>
  <si>
    <t>kids.brand.24.alt</t>
  </si>
  <si>
    <t>kids.brand.25.name</t>
  </si>
  <si>
    <t>kids.brand.25.kana</t>
  </si>
  <si>
    <t>kids.brand.25.description</t>
  </si>
  <si>
    <t>kids.brand.25.url</t>
  </si>
  <si>
    <t>kids.brand.25.img</t>
  </si>
  <si>
    <t>kids.brand.25.alt</t>
  </si>
  <si>
    <t>woman.item.1.name</t>
  </si>
  <si>
    <t>woman.item.1.url</t>
  </si>
  <si>
    <t>woman.item.1.alt</t>
  </si>
  <si>
    <t>woman.item.2.name</t>
  </si>
  <si>
    <t>woman.item.2.url</t>
  </si>
  <si>
    <t>woman.item.2.alt</t>
  </si>
  <si>
    <t>woman.item.3.name</t>
  </si>
  <si>
    <t>woman.item.3.url</t>
  </si>
  <si>
    <t>woman.item.3.alt</t>
  </si>
  <si>
    <t>woman.item.4.name</t>
  </si>
  <si>
    <t>woman.item.4.url</t>
  </si>
  <si>
    <t>woman.item.4.alt</t>
  </si>
  <si>
    <t>woman.item.5.name</t>
  </si>
  <si>
    <t>woman.item.5.url</t>
  </si>
  <si>
    <t>woman.item.5.alt</t>
  </si>
  <si>
    <t>woman.brand.1.name</t>
  </si>
  <si>
    <t>woman.brand.1.kana</t>
  </si>
  <si>
    <t>woman.brand.1.description</t>
  </si>
  <si>
    <t>woman.brand.1.url</t>
  </si>
  <si>
    <t>woman.brand.1.img</t>
  </si>
  <si>
    <t>woman.brand.1.alt</t>
  </si>
  <si>
    <t>woman.brand.2.name</t>
  </si>
  <si>
    <t>woman.brand.2.kana</t>
  </si>
  <si>
    <t>woman.brand.2.description</t>
  </si>
  <si>
    <t>woman.brand.2.url</t>
  </si>
  <si>
    <t>woman.brand.2.img</t>
  </si>
  <si>
    <t>woman.brand.2.alt</t>
  </si>
  <si>
    <t>woman.brand.3.name</t>
  </si>
  <si>
    <t>woman.brand.3.kana</t>
  </si>
  <si>
    <t>woman.brand.3.description</t>
  </si>
  <si>
    <t>woman.brand.3.url</t>
  </si>
  <si>
    <t>woman.brand.3.img</t>
  </si>
  <si>
    <t>woman.brand.3.alt</t>
  </si>
  <si>
    <t>woman.brand.4.name</t>
  </si>
  <si>
    <t>woman.brand.4.kana</t>
  </si>
  <si>
    <t>woman.brand.4.description</t>
  </si>
  <si>
    <t>woman.brand.4.url</t>
  </si>
  <si>
    <t>woman.brand.4.img</t>
  </si>
  <si>
    <t>woman.brand.4.alt</t>
  </si>
  <si>
    <t>woman.brand.5.name</t>
  </si>
  <si>
    <t>woman.brand.5.kana</t>
  </si>
  <si>
    <t>woman.brand.5.description</t>
  </si>
  <si>
    <t>woman.brand.5.url</t>
  </si>
  <si>
    <t>woman.brand.5.img</t>
  </si>
  <si>
    <t>woman.brand.5.alt</t>
  </si>
  <si>
    <t>woman.brand.6.name</t>
  </si>
  <si>
    <t>woman.brand.6.kana</t>
  </si>
  <si>
    <t>woman.brand.6.description</t>
  </si>
  <si>
    <t>woman.brand.6.url</t>
  </si>
  <si>
    <t>woman.brand.6.img</t>
  </si>
  <si>
    <t>woman.brand.6.alt</t>
  </si>
  <si>
    <t>woman.brand.7.name</t>
  </si>
  <si>
    <t>woman.brand.7.kana</t>
  </si>
  <si>
    <t>woman.brand.7.description</t>
  </si>
  <si>
    <t>woman.brand.7.url</t>
  </si>
  <si>
    <t>woman.brand.7.img</t>
  </si>
  <si>
    <t>woman.brand.7.alt</t>
  </si>
  <si>
    <t>woman.brand.8.name</t>
  </si>
  <si>
    <t>woman.brand.8.kana</t>
  </si>
  <si>
    <t>woman.brand.8.description</t>
  </si>
  <si>
    <t>woman.brand.8.url</t>
  </si>
  <si>
    <t>woman.brand.8.img</t>
  </si>
  <si>
    <t>woman.brand.8.alt</t>
  </si>
  <si>
    <t>woman.brand.9.name</t>
  </si>
  <si>
    <t>woman.brand.9.kana</t>
  </si>
  <si>
    <t>woman.brand.9.description</t>
  </si>
  <si>
    <t>woman.brand.9.url</t>
  </si>
  <si>
    <t>woman.brand.9.img</t>
  </si>
  <si>
    <t>woman.brand.9.alt</t>
  </si>
  <si>
    <t>woman.brand.10.name</t>
  </si>
  <si>
    <t>woman.brand.10.kana</t>
  </si>
  <si>
    <t>woman.brand.10.description</t>
  </si>
  <si>
    <t>woman.brand.10.url</t>
  </si>
  <si>
    <t>woman.brand.10.img</t>
  </si>
  <si>
    <t>woman.brand.10.alt</t>
  </si>
  <si>
    <t>woman.brand.11.name</t>
  </si>
  <si>
    <t>woman.brand.11.kana</t>
  </si>
  <si>
    <t>woman.brand.11.description</t>
  </si>
  <si>
    <t>woman.brand.11.url</t>
  </si>
  <si>
    <t>woman.brand.11.img</t>
  </si>
  <si>
    <t>woman.brand.11.alt</t>
  </si>
  <si>
    <t>woman.brand.12.name</t>
  </si>
  <si>
    <t>woman.brand.12.kana</t>
  </si>
  <si>
    <t>woman.brand.12.description</t>
  </si>
  <si>
    <t>woman.brand.12.url</t>
  </si>
  <si>
    <t>woman.brand.12.img</t>
  </si>
  <si>
    <t>woman.brand.12.alt</t>
  </si>
  <si>
    <t>woman.brand.13.name</t>
  </si>
  <si>
    <t>woman.brand.13.kana</t>
  </si>
  <si>
    <t>woman.brand.13.description</t>
  </si>
  <si>
    <t>woman.brand.13.url</t>
  </si>
  <si>
    <t>woman.brand.13.img</t>
  </si>
  <si>
    <t>woman.brand.13.alt</t>
  </si>
  <si>
    <t>woman.brand.14.name</t>
  </si>
  <si>
    <t>woman.brand.14.kana</t>
  </si>
  <si>
    <t>woman.brand.14.description</t>
  </si>
  <si>
    <t>woman.brand.14.url</t>
  </si>
  <si>
    <t>woman.brand.14.img</t>
  </si>
  <si>
    <t>woman.brand.14.alt</t>
  </si>
  <si>
    <t>woman.brand.15.name</t>
  </si>
  <si>
    <t>woman.brand.15.kana</t>
  </si>
  <si>
    <t>woman.brand.15.description</t>
  </si>
  <si>
    <t>woman.brand.15.url</t>
  </si>
  <si>
    <t>woman.brand.15.img</t>
  </si>
  <si>
    <t>woman.brand.15.alt</t>
  </si>
  <si>
    <t>woman.brand.16.name</t>
  </si>
  <si>
    <t>woman.brand.16.kana</t>
  </si>
  <si>
    <t>woman.brand.16.description</t>
  </si>
  <si>
    <t>woman.brand.16.url</t>
  </si>
  <si>
    <t>woman.brand.16.img</t>
  </si>
  <si>
    <t>woman.brand.16.alt</t>
  </si>
  <si>
    <t>woman.brand.17.name</t>
  </si>
  <si>
    <t>woman.brand.17.kana</t>
  </si>
  <si>
    <t>woman.brand.17.description</t>
  </si>
  <si>
    <t>woman.brand.17.url</t>
  </si>
  <si>
    <t>woman.brand.17.img</t>
  </si>
  <si>
    <t>woman.brand.17.alt</t>
  </si>
  <si>
    <t>woman.brand.18.name</t>
  </si>
  <si>
    <t>woman.brand.18.kana</t>
  </si>
  <si>
    <t>woman.brand.18.description</t>
  </si>
  <si>
    <t>woman.brand.18.url</t>
  </si>
  <si>
    <t>woman.brand.18.img</t>
  </si>
  <si>
    <t>woman.brand.18.alt</t>
  </si>
  <si>
    <t>woman.brand.19.name</t>
  </si>
  <si>
    <t>woman.brand.19.kana</t>
  </si>
  <si>
    <t>woman.brand.19.description</t>
  </si>
  <si>
    <t>woman.brand.19.url</t>
  </si>
  <si>
    <t>woman.brand.19.img</t>
  </si>
  <si>
    <t>woman.brand.19.alt</t>
  </si>
  <si>
    <t>woman.brand.20.name</t>
  </si>
  <si>
    <t>woman.brand.20.kana</t>
  </si>
  <si>
    <t>woman.brand.20.description</t>
  </si>
  <si>
    <t>woman.brand.20.url</t>
  </si>
  <si>
    <t>woman.brand.20.img</t>
  </si>
  <si>
    <t>woman.brand.20.alt</t>
  </si>
  <si>
    <t>woman.brand.21.name</t>
  </si>
  <si>
    <t>woman.brand.21.kana</t>
  </si>
  <si>
    <t>woman.brand.21.description</t>
  </si>
  <si>
    <t>woman.brand.21.url</t>
  </si>
  <si>
    <t>woman.brand.21.img</t>
  </si>
  <si>
    <t>woman.brand.21.alt</t>
  </si>
  <si>
    <t>woman.brand.22.name</t>
  </si>
  <si>
    <t>woman.brand.22.kana</t>
  </si>
  <si>
    <t>woman.brand.22.description</t>
  </si>
  <si>
    <t>woman.brand.22.url</t>
  </si>
  <si>
    <t>woman.brand.22.img</t>
  </si>
  <si>
    <t>woman.brand.22.alt</t>
  </si>
  <si>
    <t>woman.brand.23.name</t>
  </si>
  <si>
    <t>woman.brand.23.kana</t>
  </si>
  <si>
    <t>woman.brand.23.description</t>
  </si>
  <si>
    <t>woman.brand.23.url</t>
  </si>
  <si>
    <t>woman.brand.23.img</t>
  </si>
  <si>
    <t>woman.brand.23.alt</t>
  </si>
  <si>
    <t>woman.brand.24.name</t>
  </si>
  <si>
    <t>woman.brand.24.kana</t>
  </si>
  <si>
    <t>woman.brand.24.description</t>
  </si>
  <si>
    <t>woman.brand.24.url</t>
  </si>
  <si>
    <t>woman.brand.24.img</t>
  </si>
  <si>
    <t>woman.brand.24.alt</t>
  </si>
  <si>
    <t>woman.brand.25.name</t>
  </si>
  <si>
    <t>woman.brand.25.kana</t>
  </si>
  <si>
    <t>woman.brand.25.description</t>
  </si>
  <si>
    <t>woman.brand.25.url</t>
  </si>
  <si>
    <t>woman.brand.25.img</t>
  </si>
  <si>
    <t>woman.brand.25.alt</t>
  </si>
  <si>
    <t>woman.brand.26.name</t>
  </si>
  <si>
    <t>woman.brand.26.kana</t>
  </si>
  <si>
    <t>woman.brand.26.description</t>
  </si>
  <si>
    <t>woman.brand.26.url</t>
  </si>
  <si>
    <t>woman.brand.26.img</t>
  </si>
  <si>
    <t>woman.brand.26.alt</t>
  </si>
  <si>
    <t>woman.brand.27.name</t>
  </si>
  <si>
    <t>woman.brand.27.kana</t>
  </si>
  <si>
    <t>woman.brand.27.description</t>
  </si>
  <si>
    <t>woman.brand.27.url</t>
  </si>
  <si>
    <t>woman.brand.27.img</t>
  </si>
  <si>
    <t>woman.brand.27.alt</t>
  </si>
  <si>
    <t>woman.brand.28.name</t>
  </si>
  <si>
    <t>woman.brand.28.kana</t>
  </si>
  <si>
    <t>woman.brand.28.description</t>
  </si>
  <si>
    <t>woman.brand.28.url</t>
  </si>
  <si>
    <t>woman.brand.28.img</t>
  </si>
  <si>
    <t>woman.brand.28.alt</t>
  </si>
  <si>
    <t>woman.brand.29.name</t>
  </si>
  <si>
    <t>woman.brand.29.kana</t>
  </si>
  <si>
    <t>woman.brand.29.description</t>
  </si>
  <si>
    <t>woman.brand.29.url</t>
  </si>
  <si>
    <t>woman.brand.29.img</t>
  </si>
  <si>
    <t>woman.brand.29.alt</t>
  </si>
  <si>
    <t>woman.brand.30.name</t>
  </si>
  <si>
    <t>woman.brand.30.kana</t>
  </si>
  <si>
    <t>woman.brand.30.description</t>
  </si>
  <si>
    <t>woman.brand.30.url</t>
  </si>
  <si>
    <t>woman.brand.30.img</t>
  </si>
  <si>
    <t>woman.brand.30.alt</t>
  </si>
  <si>
    <t>woman.brand.31.name</t>
  </si>
  <si>
    <t>woman.brand.31.kana</t>
  </si>
  <si>
    <t>woman.brand.31.description</t>
  </si>
  <si>
    <t>woman.brand.31.url</t>
  </si>
  <si>
    <t>woman.brand.31.img</t>
  </si>
  <si>
    <t>woman.brand.31.alt</t>
  </si>
  <si>
    <t>brands.index.1.name</t>
  </si>
  <si>
    <t>brands.index.1.kana</t>
  </si>
  <si>
    <t>brands.index.1.description</t>
  </si>
  <si>
    <t>brands.index.1.url</t>
  </si>
  <si>
    <t>brands.index.1.img</t>
  </si>
  <si>
    <t>brands.index.1.alt</t>
  </si>
  <si>
    <t>brands.index.1.category</t>
  </si>
  <si>
    <t>brands.index.2.name</t>
  </si>
  <si>
    <t>brands.index.2.kana</t>
  </si>
  <si>
    <t>brands.index.2.description</t>
  </si>
  <si>
    <t>brands.index.2.url</t>
  </si>
  <si>
    <t>brands.index.2.img</t>
  </si>
  <si>
    <t>brands.index.2.alt</t>
  </si>
  <si>
    <t>brands.index.2.category</t>
  </si>
  <si>
    <t>brands.index.3.name</t>
  </si>
  <si>
    <t>brands.index.3.kana</t>
  </si>
  <si>
    <t>brands.index.3.description</t>
  </si>
  <si>
    <t>brands.index.3.url</t>
  </si>
  <si>
    <t>brands.index.3.img</t>
  </si>
  <si>
    <t>brands.index.3.alt</t>
  </si>
  <si>
    <t>brands.index.3.category</t>
  </si>
  <si>
    <t>brands.index.4.name</t>
  </si>
  <si>
    <t>brands.index.4.kana</t>
  </si>
  <si>
    <t>brands.index.4.description</t>
  </si>
  <si>
    <t>brands.index.4.url</t>
  </si>
  <si>
    <t>brands.index.4.img</t>
  </si>
  <si>
    <t>brands.index.4.alt</t>
  </si>
  <si>
    <t>brands.index.4.category</t>
  </si>
  <si>
    <t>brands.index.5.name</t>
  </si>
  <si>
    <t>brands.index.5.kana</t>
  </si>
  <si>
    <t>brands.index.5.description</t>
  </si>
  <si>
    <t>brands.index.5.url</t>
  </si>
  <si>
    <t>brands.index.5.img</t>
  </si>
  <si>
    <t>brands.index.5.alt</t>
  </si>
  <si>
    <t>brands.index.5.category</t>
  </si>
  <si>
    <t>brands.index.6.name</t>
  </si>
  <si>
    <t>brands.index.6.kana</t>
  </si>
  <si>
    <t>brands.index.6.description</t>
  </si>
  <si>
    <t>brands.index.6.url</t>
  </si>
  <si>
    <t>brands.index.6.img</t>
  </si>
  <si>
    <t>brands.index.6.alt</t>
  </si>
  <si>
    <t>brands.index.6.category</t>
  </si>
  <si>
    <t>brands.index.7.name</t>
  </si>
  <si>
    <t>brands.index.7.kana</t>
  </si>
  <si>
    <t>brands.index.7.description</t>
  </si>
  <si>
    <t>brands.index.7.url</t>
  </si>
  <si>
    <t>brands.index.7.img</t>
  </si>
  <si>
    <t>brands.index.7.alt</t>
  </si>
  <si>
    <t>brands.index.7.category</t>
  </si>
  <si>
    <t>brands.index.8.name</t>
  </si>
  <si>
    <t>brands.index.8.kana</t>
  </si>
  <si>
    <t>brands.index.8.description</t>
  </si>
  <si>
    <t>brands.index.8.url</t>
  </si>
  <si>
    <t>brands.index.8.img</t>
  </si>
  <si>
    <t>brands.index.8.alt</t>
  </si>
  <si>
    <t>brands.index.8.category</t>
  </si>
  <si>
    <t>brands.index.9.name</t>
  </si>
  <si>
    <t>brands.index.9.kana</t>
  </si>
  <si>
    <t>brands.index.9.description</t>
  </si>
  <si>
    <t>brands.index.9.url</t>
  </si>
  <si>
    <t>brands.index.9.img</t>
  </si>
  <si>
    <t>brands.index.9.alt</t>
  </si>
  <si>
    <t>brands.index.9.category</t>
  </si>
  <si>
    <t>brands.index.10.name</t>
  </si>
  <si>
    <t>brands.index.10.kana</t>
  </si>
  <si>
    <t>brands.index.10.description</t>
  </si>
  <si>
    <t>brands.index.10.url</t>
  </si>
  <si>
    <t>brands.index.10.img</t>
  </si>
  <si>
    <t>brands.index.10.alt</t>
  </si>
  <si>
    <t>brands.index.10.category</t>
  </si>
  <si>
    <t>brands.index.11.name</t>
  </si>
  <si>
    <t>brands.index.11.kana</t>
  </si>
  <si>
    <t>brands.index.11.description</t>
  </si>
  <si>
    <t>brands.index.11.url</t>
  </si>
  <si>
    <t>brands.index.11.img</t>
  </si>
  <si>
    <t>brands.index.11.alt</t>
  </si>
  <si>
    <t>brands.index.11.category</t>
  </si>
  <si>
    <t>brands.index.12.name</t>
  </si>
  <si>
    <t>brands.index.12.kana</t>
  </si>
  <si>
    <t>brands.index.12.description</t>
  </si>
  <si>
    <t>brands.index.12.url</t>
  </si>
  <si>
    <t>brands.index.12.img</t>
  </si>
  <si>
    <t>brands.index.12.alt</t>
  </si>
  <si>
    <t>brands.index.12.category</t>
  </si>
  <si>
    <t>brands.index.13.name</t>
  </si>
  <si>
    <t>brands.index.13.kana</t>
  </si>
  <si>
    <t>brands.index.13.description</t>
  </si>
  <si>
    <t>brands.index.13.url</t>
  </si>
  <si>
    <t>brands.index.13.img</t>
  </si>
  <si>
    <t>brands.index.13.alt</t>
  </si>
  <si>
    <t>brands.index.13.category</t>
  </si>
  <si>
    <t>brands.index.14.name</t>
  </si>
  <si>
    <t>brands.index.14.kana</t>
  </si>
  <si>
    <t>brands.index.14.description</t>
  </si>
  <si>
    <t>brands.index.14.url</t>
  </si>
  <si>
    <t>brands.index.14.img</t>
  </si>
  <si>
    <t>brands.index.14.alt</t>
  </si>
  <si>
    <t>brands.index.14.category</t>
  </si>
  <si>
    <t>brands.index.15.name</t>
  </si>
  <si>
    <t>brands.index.15.kana</t>
  </si>
  <si>
    <t>brands.index.15.description</t>
  </si>
  <si>
    <t>brands.index.15.url</t>
  </si>
  <si>
    <t>brands.index.15.img</t>
  </si>
  <si>
    <t>brands.index.15.alt</t>
  </si>
  <si>
    <t>brands.index.15.category</t>
  </si>
  <si>
    <t>brands.index.16.name</t>
  </si>
  <si>
    <t>brands.index.16.kana</t>
  </si>
  <si>
    <t>brands.index.16.description</t>
  </si>
  <si>
    <t>brands.index.16.url</t>
  </si>
  <si>
    <t>brands.index.16.img</t>
  </si>
  <si>
    <t>brands.index.16.alt</t>
  </si>
  <si>
    <t>brands.index.16.category</t>
  </si>
  <si>
    <t>brands.index.17.name</t>
  </si>
  <si>
    <t>brands.index.17.kana</t>
  </si>
  <si>
    <t>brands.index.17.description</t>
  </si>
  <si>
    <t>brands.index.17.url</t>
  </si>
  <si>
    <t>brands.index.17.img</t>
  </si>
  <si>
    <t>brands.index.17.alt</t>
  </si>
  <si>
    <t>brands.index.17.category</t>
  </si>
  <si>
    <t>brands.index.18.name</t>
  </si>
  <si>
    <t>brands.index.18.kana</t>
  </si>
  <si>
    <t>brands.index.18.description</t>
  </si>
  <si>
    <t>brands.index.18.url</t>
  </si>
  <si>
    <t>brands.index.18.img</t>
  </si>
  <si>
    <t>brands.index.18.alt</t>
  </si>
  <si>
    <t>brands.index.18.category</t>
  </si>
  <si>
    <t>brands.index.19.name</t>
  </si>
  <si>
    <t>brands.index.19.kana</t>
  </si>
  <si>
    <t>brands.index.19.description</t>
  </si>
  <si>
    <t>brands.index.19.url</t>
  </si>
  <si>
    <t>brands.index.19.img</t>
  </si>
  <si>
    <t>brands.index.19.alt</t>
  </si>
  <si>
    <t>brands.index.19.category</t>
  </si>
  <si>
    <t>brands.index.20.name</t>
  </si>
  <si>
    <t>brands.index.20.kana</t>
  </si>
  <si>
    <t>brands.index.20.description</t>
  </si>
  <si>
    <t>brands.index.20.url</t>
  </si>
  <si>
    <t>brands.index.20.img</t>
  </si>
  <si>
    <t>brands.index.20.alt</t>
  </si>
  <si>
    <t>brands.index.20.category</t>
  </si>
  <si>
    <t>brands.index.21.name</t>
  </si>
  <si>
    <t>brands.index.21.kana</t>
  </si>
  <si>
    <t>brands.index.21.description</t>
  </si>
  <si>
    <t>brands.index.21.url</t>
  </si>
  <si>
    <t>brands.index.21.img</t>
  </si>
  <si>
    <t>brands.index.21.alt</t>
  </si>
  <si>
    <t>brands.index.21.category</t>
  </si>
  <si>
    <t>brands.index.22.name</t>
  </si>
  <si>
    <t>brands.index.22.kana</t>
  </si>
  <si>
    <t>brands.index.22.description</t>
  </si>
  <si>
    <t>brands.index.22.url</t>
  </si>
  <si>
    <t>brands.index.22.img</t>
  </si>
  <si>
    <t>brands.index.22.alt</t>
  </si>
  <si>
    <t>brands.index.22.category</t>
  </si>
  <si>
    <t>brands.index.23.name</t>
  </si>
  <si>
    <t>brands.index.23.kana</t>
  </si>
  <si>
    <t>brands.index.23.description</t>
  </si>
  <si>
    <t>brands.index.23.url</t>
  </si>
  <si>
    <t>brands.index.23.img</t>
  </si>
  <si>
    <t>brands.index.23.alt</t>
  </si>
  <si>
    <t>brands.index.23.category</t>
  </si>
  <si>
    <t>brands.index.24.name</t>
  </si>
  <si>
    <t>brands.index.24.kana</t>
  </si>
  <si>
    <t>brands.index.24.description</t>
  </si>
  <si>
    <t>brands.index.24.url</t>
  </si>
  <si>
    <t>brands.index.24.img</t>
  </si>
  <si>
    <t>brands.index.24.alt</t>
  </si>
  <si>
    <t>brands.index.24.category</t>
  </si>
  <si>
    <t>brands.index.25.name</t>
  </si>
  <si>
    <t>brands.index.25.kana</t>
  </si>
  <si>
    <t>brands.index.25.description</t>
  </si>
  <si>
    <t>brands.index.25.url</t>
  </si>
  <si>
    <t>brands.index.25.img</t>
  </si>
  <si>
    <t>brands.index.25.alt</t>
  </si>
  <si>
    <t>brands.index.25.category</t>
  </si>
  <si>
    <t>brands.index.26.name</t>
  </si>
  <si>
    <t>brands.index.26.kana</t>
  </si>
  <si>
    <t>brands.index.26.description</t>
  </si>
  <si>
    <t>brands.index.26.url</t>
  </si>
  <si>
    <t>brands.index.26.img</t>
  </si>
  <si>
    <t>brands.index.26.alt</t>
  </si>
  <si>
    <t>brands.index.26.category</t>
  </si>
  <si>
    <t>brands.index.27.name</t>
  </si>
  <si>
    <t>brands.index.27.kana</t>
  </si>
  <si>
    <t>brands.index.27.description</t>
  </si>
  <si>
    <t>brands.index.27.url</t>
  </si>
  <si>
    <t>brands.index.27.img</t>
  </si>
  <si>
    <t>brands.index.27.alt</t>
  </si>
  <si>
    <t>brands.index.27.category</t>
  </si>
  <si>
    <t>brands.index.28.name</t>
  </si>
  <si>
    <t>brands.index.28.kana</t>
  </si>
  <si>
    <t>brands.index.28.description</t>
  </si>
  <si>
    <t>brands.index.28.url</t>
  </si>
  <si>
    <t>brands.index.28.img</t>
  </si>
  <si>
    <t>brands.index.28.alt</t>
  </si>
  <si>
    <t>brands.index.28.category</t>
  </si>
  <si>
    <t>brands.index.29.name</t>
  </si>
  <si>
    <t>brands.index.29.kana</t>
  </si>
  <si>
    <t>brands.index.29.description</t>
  </si>
  <si>
    <t>brands.index.29.url</t>
  </si>
  <si>
    <t>brands.index.29.img</t>
  </si>
  <si>
    <t>brands.index.29.alt</t>
  </si>
  <si>
    <t>brands.index.29.category</t>
  </si>
  <si>
    <t>brands.index.30.name</t>
  </si>
  <si>
    <t>brands.index.30.kana</t>
  </si>
  <si>
    <t>brands.index.30.description</t>
  </si>
  <si>
    <t>brands.index.30.url</t>
  </si>
  <si>
    <t>brands.index.30.img</t>
  </si>
  <si>
    <t>brands.index.30.alt</t>
  </si>
  <si>
    <t>brands.index.30.category</t>
  </si>
  <si>
    <t>brands.index.31.name</t>
  </si>
  <si>
    <t>brands.index.31.kana</t>
  </si>
  <si>
    <t>brands.index.31.description</t>
  </si>
  <si>
    <t>brands.index.31.url</t>
  </si>
  <si>
    <t>brands.index.31.img</t>
  </si>
  <si>
    <t>brands.index.31.alt</t>
  </si>
  <si>
    <t>brands.index.31.category</t>
  </si>
  <si>
    <t>brands.index.32.name</t>
  </si>
  <si>
    <t>brands.index.32.kana</t>
  </si>
  <si>
    <t>brands.index.32.description</t>
  </si>
  <si>
    <t>brands.index.32.url</t>
  </si>
  <si>
    <t>brands.index.32.img</t>
  </si>
  <si>
    <t>brands.index.32.alt</t>
  </si>
  <si>
    <t>brands.index.32.category</t>
  </si>
  <si>
    <t>brands.index.33.name</t>
  </si>
  <si>
    <t>brands.index.33.kana</t>
  </si>
  <si>
    <t>brands.index.33.description</t>
  </si>
  <si>
    <t>brands.index.33.url</t>
  </si>
  <si>
    <t>brands.index.33.img</t>
  </si>
  <si>
    <t>brands.index.33.alt</t>
  </si>
  <si>
    <t>brands.index.33.category</t>
  </si>
  <si>
    <t>brands.index.34.name</t>
  </si>
  <si>
    <t>brands.index.34.kana</t>
  </si>
  <si>
    <t>brands.index.34.description</t>
  </si>
  <si>
    <t>brands.index.34.url</t>
  </si>
  <si>
    <t>brands.index.34.img</t>
  </si>
  <si>
    <t>brands.index.34.alt</t>
  </si>
  <si>
    <t>brands.index.34.category</t>
  </si>
  <si>
    <t>brands.index.35.name</t>
  </si>
  <si>
    <t>brands.index.35.kana</t>
  </si>
  <si>
    <t>brands.index.35.description</t>
  </si>
  <si>
    <t>brands.index.35.url</t>
  </si>
  <si>
    <t>brands.index.35.img</t>
  </si>
  <si>
    <t>brands.index.35.alt</t>
  </si>
  <si>
    <t>brands.index.35.category</t>
  </si>
  <si>
    <t>brands.index.36.name</t>
  </si>
  <si>
    <t>brands.index.36.kana</t>
  </si>
  <si>
    <t>brands.index.36.description</t>
  </si>
  <si>
    <t>brands.index.36.url</t>
  </si>
  <si>
    <t>brands.index.36.img</t>
  </si>
  <si>
    <t>brands.index.36.alt</t>
  </si>
  <si>
    <t>brands.index.36.category</t>
  </si>
  <si>
    <t>brands.index.37.name</t>
  </si>
  <si>
    <t>brands.index.37.kana</t>
  </si>
  <si>
    <t>brands.index.37.description</t>
  </si>
  <si>
    <t>brands.index.37.url</t>
  </si>
  <si>
    <t>brands.index.37.img</t>
  </si>
  <si>
    <t>brands.index.37.alt</t>
  </si>
  <si>
    <t>brands.index.37.category</t>
  </si>
  <si>
    <t>brands.index.38.name</t>
  </si>
  <si>
    <t>brands.index.38.kana</t>
  </si>
  <si>
    <t>brands.index.38.description</t>
  </si>
  <si>
    <t>brands.index.38.url</t>
  </si>
  <si>
    <t>brands.index.38.img</t>
  </si>
  <si>
    <t>brands.index.38.alt</t>
  </si>
  <si>
    <t>brands.index.38.category</t>
  </si>
  <si>
    <t>brands.index.39.name</t>
  </si>
  <si>
    <t>brands.index.39.kana</t>
  </si>
  <si>
    <t>brands.index.39.description</t>
  </si>
  <si>
    <t>brands.index.39.url</t>
  </si>
  <si>
    <t>brands.index.39.img</t>
  </si>
  <si>
    <t>brands.index.39.alt</t>
  </si>
  <si>
    <t>brands.index.39.category</t>
  </si>
  <si>
    <t>brands.index.40.name</t>
  </si>
  <si>
    <t>brands.index.40.kana</t>
  </si>
  <si>
    <t>brands.index.40.description</t>
  </si>
  <si>
    <t>brands.index.40.url</t>
  </si>
  <si>
    <t>brands.index.40.img</t>
  </si>
  <si>
    <t>brands.index.40.alt</t>
  </si>
  <si>
    <t>brands.index.40.category</t>
  </si>
  <si>
    <t>brands.index.41.name</t>
  </si>
  <si>
    <t>brands.index.41.kana</t>
  </si>
  <si>
    <t>brands.index.41.description</t>
  </si>
  <si>
    <t>brands.index.41.url</t>
  </si>
  <si>
    <t>brands.index.41.img</t>
  </si>
  <si>
    <t>brands.index.41.alt</t>
  </si>
  <si>
    <t>brands.index.41.category</t>
  </si>
  <si>
    <t>brands.index.42.name</t>
  </si>
  <si>
    <t>brands.index.42.kana</t>
  </si>
  <si>
    <t>brands.index.42.description</t>
  </si>
  <si>
    <t>brands.index.42.url</t>
  </si>
  <si>
    <t>brands.index.42.img</t>
  </si>
  <si>
    <t>brands.index.42.alt</t>
  </si>
  <si>
    <t>brands.index.42.category</t>
  </si>
  <si>
    <t>brands.index.43.name</t>
  </si>
  <si>
    <t>brands.index.43.kana</t>
  </si>
  <si>
    <t>brands.index.43.description</t>
  </si>
  <si>
    <t>brands.index.43.url</t>
  </si>
  <si>
    <t>brands.index.43.img</t>
  </si>
  <si>
    <t>brands.index.43.alt</t>
  </si>
  <si>
    <t>brands.index.43.category</t>
  </si>
  <si>
    <t>brands.index.44.name</t>
  </si>
  <si>
    <t>brands.index.44.kana</t>
  </si>
  <si>
    <t>brands.index.44.description</t>
  </si>
  <si>
    <t>brands.index.44.url</t>
  </si>
  <si>
    <t>brands.index.44.img</t>
  </si>
  <si>
    <t>brands.index.44.alt</t>
  </si>
  <si>
    <t>brands.index.44.category</t>
  </si>
  <si>
    <t>brands.index.45.name</t>
  </si>
  <si>
    <t>brands.index.45.kana</t>
  </si>
  <si>
    <t>brands.index.45.description</t>
  </si>
  <si>
    <t>brands.index.45.url</t>
  </si>
  <si>
    <t>brands.index.45.img</t>
  </si>
  <si>
    <t>brands.index.45.alt</t>
  </si>
  <si>
    <t>brands.index.45.category</t>
  </si>
  <si>
    <t>brands.index.46.name</t>
  </si>
  <si>
    <t>brands.index.46.kana</t>
  </si>
  <si>
    <t>brands.index.46.description</t>
  </si>
  <si>
    <t>brands.index.46.url</t>
  </si>
  <si>
    <t>brands.index.46.img</t>
  </si>
  <si>
    <t>brands.index.46.alt</t>
  </si>
  <si>
    <t>brands.index.46.category</t>
  </si>
  <si>
    <t>brands.index.47.name</t>
  </si>
  <si>
    <t>brands.index.47.kana</t>
  </si>
  <si>
    <t>brands.index.47.description</t>
  </si>
  <si>
    <t>brands.index.47.url</t>
  </si>
  <si>
    <t>brands.index.47.img</t>
  </si>
  <si>
    <t>brands.index.47.alt</t>
  </si>
  <si>
    <t>brands.index.47.category</t>
  </si>
  <si>
    <t>brands.index.48.name</t>
  </si>
  <si>
    <t>brands.index.48.kana</t>
  </si>
  <si>
    <t>brands.index.48.description</t>
  </si>
  <si>
    <t>brands.index.48.url</t>
  </si>
  <si>
    <t>brands.index.48.img</t>
  </si>
  <si>
    <t>brands.index.48.alt</t>
  </si>
  <si>
    <t>brands.index.48.category</t>
  </si>
  <si>
    <t>brands.index.49.name</t>
  </si>
  <si>
    <t>brands.index.49.kana</t>
  </si>
  <si>
    <t>brands.index.49.description</t>
  </si>
  <si>
    <t>brands.index.49.url</t>
  </si>
  <si>
    <t>brands.index.49.img</t>
  </si>
  <si>
    <t>brands.index.49.alt</t>
  </si>
  <si>
    <t>brands.index.49.category</t>
  </si>
  <si>
    <t>brands.index.50.name</t>
  </si>
  <si>
    <t>brands.index.50.kana</t>
  </si>
  <si>
    <t>brands.index.50.description</t>
  </si>
  <si>
    <t>brands.index.50.url</t>
  </si>
  <si>
    <t>brands.index.50.img</t>
  </si>
  <si>
    <t>brands.index.50.alt</t>
  </si>
  <si>
    <t>brands.index.50.category</t>
  </si>
  <si>
    <t>brands.index.51.name</t>
  </si>
  <si>
    <t>brands.index.51.kana</t>
  </si>
  <si>
    <t>brands.index.51.description</t>
  </si>
  <si>
    <t>brands.index.51.url</t>
  </si>
  <si>
    <t>brands.index.51.img</t>
  </si>
  <si>
    <t>brands.index.51.alt</t>
  </si>
  <si>
    <t>brands.index.51.category</t>
  </si>
  <si>
    <t>brands.index.52.name</t>
  </si>
  <si>
    <t>brands.index.52.kana</t>
  </si>
  <si>
    <t>brands.index.52.description</t>
  </si>
  <si>
    <t>brands.index.52.url</t>
  </si>
  <si>
    <t>brands.index.52.img</t>
  </si>
  <si>
    <t>brands.index.52.alt</t>
  </si>
  <si>
    <t>brands.index.52.category</t>
  </si>
  <si>
    <t>brands.index.53.name</t>
  </si>
  <si>
    <t>brands.index.53.kana</t>
  </si>
  <si>
    <t>brands.index.53.description</t>
  </si>
  <si>
    <t>brands.index.53.url</t>
  </si>
  <si>
    <t>brands.index.53.img</t>
  </si>
  <si>
    <t>brands.index.53.alt</t>
  </si>
  <si>
    <t>brands.index.53.category</t>
  </si>
  <si>
    <t>brands.index.54.name</t>
  </si>
  <si>
    <t>brands.index.54.kana</t>
  </si>
  <si>
    <t>brands.index.54.description</t>
  </si>
  <si>
    <t>brands.index.54.url</t>
  </si>
  <si>
    <t>brands.index.54.img</t>
  </si>
  <si>
    <t>brands.index.54.alt</t>
  </si>
  <si>
    <t>brands.index.54.category</t>
  </si>
  <si>
    <t>brands.index.55.name</t>
  </si>
  <si>
    <t>brands.index.55.kana</t>
  </si>
  <si>
    <t>brands.index.55.description</t>
  </si>
  <si>
    <t>brands.index.55.url</t>
  </si>
  <si>
    <t>brands.index.55.img</t>
  </si>
  <si>
    <t>brands.index.55.alt</t>
  </si>
  <si>
    <t>brands.index.55.category</t>
  </si>
  <si>
    <t>brands.index.56.name</t>
  </si>
  <si>
    <t>brands.index.56.kana</t>
  </si>
  <si>
    <t>brands.index.56.description</t>
  </si>
  <si>
    <t>brands.index.56.url</t>
  </si>
  <si>
    <t>brands.index.56.img</t>
  </si>
  <si>
    <t>brands.index.56.alt</t>
  </si>
  <si>
    <t>brands.index.56.category</t>
  </si>
  <si>
    <t>brands.index.57.name</t>
  </si>
  <si>
    <t>brands.index.57.kana</t>
  </si>
  <si>
    <t>brands.index.57.description</t>
  </si>
  <si>
    <t>brands.index.57.url</t>
  </si>
  <si>
    <t>brands.index.57.img</t>
  </si>
  <si>
    <t>brands.index.57.alt</t>
  </si>
  <si>
    <t>brands.index.57.category</t>
  </si>
  <si>
    <t>brands.index.58.name</t>
  </si>
  <si>
    <t>brands.index.58.kana</t>
  </si>
  <si>
    <t>brands.index.58.description</t>
  </si>
  <si>
    <t>brands.index.58.url</t>
  </si>
  <si>
    <t>brands.index.58.img</t>
  </si>
  <si>
    <t>brands.index.58.alt</t>
  </si>
  <si>
    <t>brands.index.58.category</t>
  </si>
  <si>
    <t>brands.index.59.name</t>
  </si>
  <si>
    <t>brands.index.59.kana</t>
  </si>
  <si>
    <t>brands.index.59.description</t>
  </si>
  <si>
    <t>brands.index.59.url</t>
  </si>
  <si>
    <t>brands.index.59.img</t>
  </si>
  <si>
    <t>brands.index.59.alt</t>
  </si>
  <si>
    <t>brands.index.59.category</t>
  </si>
  <si>
    <t>brands.index.60.name</t>
  </si>
  <si>
    <t>brands.index.60.kana</t>
  </si>
  <si>
    <t>brands.index.60.description</t>
  </si>
  <si>
    <t>brands.index.60.url</t>
  </si>
  <si>
    <t>brands.index.60.img</t>
  </si>
  <si>
    <t>brands.index.60.alt</t>
  </si>
  <si>
    <t>brands.index.60.category</t>
  </si>
  <si>
    <t>brands.index.61.name</t>
  </si>
  <si>
    <t>brands.index.61.kana</t>
  </si>
  <si>
    <t>brands.index.61.description</t>
  </si>
  <si>
    <t>brands.index.61.url</t>
  </si>
  <si>
    <t>brands.index.61.img</t>
  </si>
  <si>
    <t>brands.index.61.alt</t>
  </si>
  <si>
    <t>brands.index.61.category</t>
  </si>
  <si>
    <t>brands.index.62.name</t>
  </si>
  <si>
    <t>brands.index.62.kana</t>
  </si>
  <si>
    <t>brands.index.62.description</t>
  </si>
  <si>
    <t>brands.index.62.url</t>
  </si>
  <si>
    <t>brands.index.62.img</t>
  </si>
  <si>
    <t>brands.index.62.alt</t>
  </si>
  <si>
    <t>brands.index.62.category</t>
  </si>
  <si>
    <t>brands.index.63.name</t>
  </si>
  <si>
    <t>brands.index.63.kana</t>
  </si>
  <si>
    <t>brands.index.63.description</t>
  </si>
  <si>
    <t>brands.index.63.url</t>
  </si>
  <si>
    <t>brands.index.63.img</t>
  </si>
  <si>
    <t>brands.index.63.alt</t>
  </si>
  <si>
    <t>brands.index.63.category</t>
  </si>
  <si>
    <t>brands.index.64.name</t>
  </si>
  <si>
    <t>brands.index.64.kana</t>
  </si>
  <si>
    <t>brands.index.64.description</t>
  </si>
  <si>
    <t>brands.index.64.url</t>
  </si>
  <si>
    <t>brands.index.64.img</t>
  </si>
  <si>
    <t>brands.index.64.alt</t>
  </si>
  <si>
    <t>brands.index.64.category</t>
  </si>
  <si>
    <t>brands.index.65.name</t>
  </si>
  <si>
    <t>brands.index.65.kana</t>
  </si>
  <si>
    <t>brands.index.65.description</t>
  </si>
  <si>
    <t>brands.index.65.url</t>
  </si>
  <si>
    <t>brands.index.65.img</t>
  </si>
  <si>
    <t>brands.index.65.alt</t>
  </si>
  <si>
    <t>brands.index.65.category</t>
  </si>
  <si>
    <t>brands.index.66.name</t>
  </si>
  <si>
    <t>brands.index.66.kana</t>
  </si>
  <si>
    <t>brands.index.66.description</t>
  </si>
  <si>
    <t>brands.index.66.url</t>
  </si>
  <si>
    <t>brands.index.66.img</t>
  </si>
  <si>
    <t>brands.index.66.alt</t>
  </si>
  <si>
    <t>brands.index.66.category</t>
  </si>
  <si>
    <t>brands.index.67.name</t>
  </si>
  <si>
    <t>brands.index.67.kana</t>
  </si>
  <si>
    <t>brands.index.67.description</t>
  </si>
  <si>
    <t>brands.index.67.url</t>
  </si>
  <si>
    <t>brands.index.67.img</t>
  </si>
  <si>
    <t>brands.index.67.alt</t>
  </si>
  <si>
    <t>brands.index.67.category</t>
  </si>
  <si>
    <t>brands.index.68.name</t>
  </si>
  <si>
    <t>brands.index.68.kana</t>
  </si>
  <si>
    <t>brands.index.68.description</t>
  </si>
  <si>
    <t>brands.index.68.url</t>
  </si>
  <si>
    <t>brands.index.68.img</t>
  </si>
  <si>
    <t>brands.index.68.alt</t>
  </si>
  <si>
    <t>brands.index.68.category</t>
  </si>
  <si>
    <t>brands.index.69.name</t>
  </si>
  <si>
    <t>brands.index.69.kana</t>
  </si>
  <si>
    <t>brands.index.69.description</t>
  </si>
  <si>
    <t>brands.index.69.url</t>
  </si>
  <si>
    <t>brands.index.69.img</t>
  </si>
  <si>
    <t>brands.index.69.alt</t>
  </si>
  <si>
    <t>brands.index.69.category</t>
  </si>
  <si>
    <t>brands.index.70.name</t>
  </si>
  <si>
    <t>brands.index.70.kana</t>
  </si>
  <si>
    <t>brands.index.70.description</t>
  </si>
  <si>
    <t>brands.index.70.url</t>
  </si>
  <si>
    <t>brands.index.70.img</t>
  </si>
  <si>
    <t>brands.index.70.alt</t>
  </si>
  <si>
    <t>brands.index.70.category</t>
  </si>
  <si>
    <t>brands.index.71.name</t>
  </si>
  <si>
    <t>brands.index.71.kana</t>
  </si>
  <si>
    <t>brands.index.71.description</t>
  </si>
  <si>
    <t>brands.index.71.url</t>
  </si>
  <si>
    <t>brands.index.71.img</t>
  </si>
  <si>
    <t>brands.index.71.alt</t>
  </si>
  <si>
    <t>brands.index.71.category</t>
  </si>
  <si>
    <t>brands.index.72.name</t>
  </si>
  <si>
    <t>brands.index.72.kana</t>
  </si>
  <si>
    <t>brands.index.72.description</t>
  </si>
  <si>
    <t>brands.index.72.url</t>
  </si>
  <si>
    <t>brands.index.72.img</t>
  </si>
  <si>
    <t>brands.index.72.alt</t>
  </si>
  <si>
    <t>brands.index.72.category</t>
  </si>
  <si>
    <t>brands.index.73.name</t>
  </si>
  <si>
    <t>brands.index.73.kana</t>
  </si>
  <si>
    <t>brands.index.73.description</t>
  </si>
  <si>
    <t>brands.index.73.url</t>
  </si>
  <si>
    <t>brands.index.73.img</t>
  </si>
  <si>
    <t>brands.index.73.alt</t>
  </si>
  <si>
    <t>brands.index.73.category</t>
  </si>
  <si>
    <t>brands.index.74.name</t>
  </si>
  <si>
    <t>brands.index.74.kana</t>
  </si>
  <si>
    <t>brands.index.74.description</t>
  </si>
  <si>
    <t>brands.index.74.url</t>
  </si>
  <si>
    <t>brands.index.74.img</t>
  </si>
  <si>
    <t>brands.index.74.alt</t>
  </si>
  <si>
    <t>brands.index.74.category</t>
  </si>
  <si>
    <t>brands.index.75.name</t>
  </si>
  <si>
    <t>brands.index.75.kana</t>
  </si>
  <si>
    <t>brands.index.75.description</t>
  </si>
  <si>
    <t>brands.index.75.url</t>
  </si>
  <si>
    <t>brands.index.75.img</t>
  </si>
  <si>
    <t>brands.index.75.alt</t>
  </si>
  <si>
    <t>brands.index.75.category</t>
  </si>
  <si>
    <t>brands.index.76.name</t>
  </si>
  <si>
    <t>brands.index.76.kana</t>
  </si>
  <si>
    <t>brands.index.76.description</t>
  </si>
  <si>
    <t>brands.index.76.url</t>
  </si>
  <si>
    <t>brands.index.76.img</t>
  </si>
  <si>
    <t>brands.index.76.alt</t>
  </si>
  <si>
    <t>brands.index.76.category</t>
  </si>
  <si>
    <t>brands.index.77.name</t>
  </si>
  <si>
    <t>brands.index.77.kana</t>
  </si>
  <si>
    <t>brands.index.77.description</t>
  </si>
  <si>
    <t>brands.index.77.url</t>
  </si>
  <si>
    <t>brands.index.77.img</t>
  </si>
  <si>
    <t>brands.index.77.alt</t>
  </si>
  <si>
    <t>brands.index.77.category</t>
  </si>
  <si>
    <t>brands.index.78.name</t>
  </si>
  <si>
    <t>brands.index.78.kana</t>
  </si>
  <si>
    <t>brands.index.78.description</t>
  </si>
  <si>
    <t>brands.index.78.url</t>
  </si>
  <si>
    <t>brands.index.78.img</t>
  </si>
  <si>
    <t>brands.index.78.alt</t>
  </si>
  <si>
    <t>brands.index.78.category</t>
  </si>
  <si>
    <t>brands.index.79.name</t>
  </si>
  <si>
    <t>brands.index.79.kana</t>
  </si>
  <si>
    <t>brands.index.79.description</t>
  </si>
  <si>
    <t>brands.index.79.url</t>
  </si>
  <si>
    <t>brands.index.79.img</t>
  </si>
  <si>
    <t>brands.index.79.alt</t>
  </si>
  <si>
    <t>brands.index.79.category</t>
  </si>
  <si>
    <t>brands.index.80.name</t>
  </si>
  <si>
    <t>brands.index.80.kana</t>
  </si>
  <si>
    <t>brands.index.80.description</t>
  </si>
  <si>
    <t>brands.index.80.url</t>
  </si>
  <si>
    <t>brands.index.80.img</t>
  </si>
  <si>
    <t>brands.index.80.alt</t>
  </si>
  <si>
    <t>brands.index.80.category</t>
  </si>
  <si>
    <t>brands.index.81.name</t>
  </si>
  <si>
    <t>brands.index.81.kana</t>
  </si>
  <si>
    <t>brands.index.81.description</t>
  </si>
  <si>
    <t>brands.index.81.url</t>
  </si>
  <si>
    <t>brands.index.81.img</t>
  </si>
  <si>
    <t>brands.index.81.alt</t>
  </si>
  <si>
    <t>brands.index.81.category</t>
  </si>
  <si>
    <t>brands.index.82.name</t>
  </si>
  <si>
    <t>brands.index.82.kana</t>
  </si>
  <si>
    <t>brands.index.82.description</t>
  </si>
  <si>
    <t>brands.index.82.url</t>
  </si>
  <si>
    <t>brands.index.82.img</t>
  </si>
  <si>
    <t>brands.index.82.alt</t>
  </si>
  <si>
    <t>brands.index.82.category</t>
  </si>
  <si>
    <t>brands.index.83.name</t>
  </si>
  <si>
    <t>brands.index.83.kana</t>
  </si>
  <si>
    <t>brands.index.83.description</t>
  </si>
  <si>
    <t>brands.index.83.url</t>
  </si>
  <si>
    <t>brands.index.83.img</t>
  </si>
  <si>
    <t>brands.index.83.alt</t>
  </si>
  <si>
    <t>brands.index.83.category</t>
  </si>
  <si>
    <t>brands.index.84.name</t>
  </si>
  <si>
    <t>brands.index.84.kana</t>
  </si>
  <si>
    <t>brands.index.84.description</t>
  </si>
  <si>
    <t>brands.index.84.url</t>
  </si>
  <si>
    <t>brands.index.84.img</t>
  </si>
  <si>
    <t>brands.index.84.alt</t>
  </si>
  <si>
    <t>brands.index.84.category</t>
  </si>
  <si>
    <t>brands.index.85.name</t>
  </si>
  <si>
    <t>brands.index.85.kana</t>
  </si>
  <si>
    <t>brands.index.85.description</t>
  </si>
  <si>
    <t>brands.index.85.url</t>
  </si>
  <si>
    <t>brands.index.85.img</t>
  </si>
  <si>
    <t>brands.index.85.alt</t>
  </si>
  <si>
    <t>brands.index.85.category</t>
  </si>
  <si>
    <t>brands.index.86.name</t>
  </si>
  <si>
    <t>brands.index.86.kana</t>
  </si>
  <si>
    <t>brands.index.86.description</t>
  </si>
  <si>
    <t>brands.index.86.url</t>
  </si>
  <si>
    <t>brands.index.86.img</t>
  </si>
  <si>
    <t>brands.index.86.alt</t>
  </si>
  <si>
    <t>brands.index.86.category</t>
  </si>
  <si>
    <t>brands.index.87.name</t>
  </si>
  <si>
    <t>brands.index.87.kana</t>
  </si>
  <si>
    <t>brands.index.87.description</t>
  </si>
  <si>
    <t>brands.index.87.url</t>
  </si>
  <si>
    <t>brands.index.87.img</t>
  </si>
  <si>
    <t>brands.index.87.alt</t>
  </si>
  <si>
    <t>brands.index.87.category</t>
  </si>
  <si>
    <t>brands.index.88.name</t>
  </si>
  <si>
    <t>brands.index.88.kana</t>
  </si>
  <si>
    <t>brands.index.88.description</t>
  </si>
  <si>
    <t>brands.index.88.url</t>
  </si>
  <si>
    <t>brands.index.88.img</t>
  </si>
  <si>
    <t>brands.index.88.alt</t>
  </si>
  <si>
    <t>brands.index.88.category</t>
  </si>
  <si>
    <t>brands.index.89.name</t>
  </si>
  <si>
    <t>brands.index.89.kana</t>
  </si>
  <si>
    <t>brands.index.89.description</t>
  </si>
  <si>
    <t>brands.index.89.url</t>
  </si>
  <si>
    <t>brands.index.89.img</t>
  </si>
  <si>
    <t>brands.index.89.alt</t>
  </si>
  <si>
    <t>brands.index.89.category</t>
  </si>
  <si>
    <t>brands.index.90.name</t>
  </si>
  <si>
    <t>brands.index.90.kana</t>
  </si>
  <si>
    <t>brands.index.90.description</t>
  </si>
  <si>
    <t>brands.index.90.url</t>
  </si>
  <si>
    <t>brands.index.90.img</t>
  </si>
  <si>
    <t>brands.index.90.alt</t>
  </si>
  <si>
    <t>brands.index.90.category</t>
  </si>
  <si>
    <t>brands.index.91.name</t>
  </si>
  <si>
    <t>brands.index.91.kana</t>
  </si>
  <si>
    <t>brands.index.91.description</t>
  </si>
  <si>
    <t>brands.index.91.url</t>
  </si>
  <si>
    <t>brands.index.91.img</t>
  </si>
  <si>
    <t>brands.index.91.alt</t>
  </si>
  <si>
    <t>brands.index.91.category</t>
  </si>
  <si>
    <t>brands.index.92.name</t>
  </si>
  <si>
    <t>brands.index.92.kana</t>
  </si>
  <si>
    <t>brands.index.92.description</t>
  </si>
  <si>
    <t>brands.index.92.url</t>
  </si>
  <si>
    <t>brands.index.92.img</t>
  </si>
  <si>
    <t>brands.index.92.alt</t>
  </si>
  <si>
    <t>brands.index.92.category</t>
  </si>
  <si>
    <t>brands.index.93.name</t>
  </si>
  <si>
    <t>brands.index.93.kana</t>
  </si>
  <si>
    <t>brands.index.93.description</t>
  </si>
  <si>
    <t>brands.index.93.url</t>
  </si>
  <si>
    <t>brands.index.93.img</t>
  </si>
  <si>
    <t>brands.index.93.alt</t>
  </si>
  <si>
    <t>brands.index.93.category</t>
  </si>
  <si>
    <t>brands.index.94.name</t>
  </si>
  <si>
    <t>brands.index.94.kana</t>
  </si>
  <si>
    <t>brands.index.94.description</t>
  </si>
  <si>
    <t>brands.index.94.url</t>
  </si>
  <si>
    <t>brands.index.94.img</t>
  </si>
  <si>
    <t>brands.index.94.alt</t>
  </si>
  <si>
    <t>brands.index.94.category</t>
  </si>
  <si>
    <t>brands.index.95.name</t>
  </si>
  <si>
    <t>brands.index.95.kana</t>
  </si>
  <si>
    <t>brands.index.95.description</t>
  </si>
  <si>
    <t>brands.index.95.url</t>
  </si>
  <si>
    <t>brands.index.95.img</t>
  </si>
  <si>
    <t>brands.index.95.alt</t>
  </si>
  <si>
    <t>brands.index.95.category</t>
  </si>
  <si>
    <t>brands.index.96.name</t>
  </si>
  <si>
    <t>brands.index.96.kana</t>
  </si>
  <si>
    <t>brands.index.96.description</t>
  </si>
  <si>
    <t>brands.index.96.url</t>
  </si>
  <si>
    <t>brands.index.96.img</t>
  </si>
  <si>
    <t>brands.index.96.alt</t>
  </si>
  <si>
    <t>brands.index.96.category</t>
  </si>
  <si>
    <t>brands.index.97.name</t>
  </si>
  <si>
    <t>brands.index.97.kana</t>
  </si>
  <si>
    <t>brands.index.97.description</t>
  </si>
  <si>
    <t>brands.index.97.url</t>
  </si>
  <si>
    <t>brands.index.97.img</t>
  </si>
  <si>
    <t>brands.index.97.alt</t>
  </si>
  <si>
    <t>brands.index.97.category</t>
  </si>
  <si>
    <t>brands.index.98.name</t>
  </si>
  <si>
    <t>brands.index.98.kana</t>
  </si>
  <si>
    <t>brands.index.98.description</t>
  </si>
  <si>
    <t>brands.index.98.url</t>
  </si>
  <si>
    <t>brands.index.98.img</t>
  </si>
  <si>
    <t>brands.index.98.alt</t>
  </si>
  <si>
    <t>brands.index.98.category</t>
  </si>
  <si>
    <t>KIDS</t>
  </si>
  <si>
    <t>WOMAN</t>
  </si>
  <si>
    <t>BABY</t>
  </si>
  <si>
    <t>alt</t>
    <phoneticPr fontId="18"/>
  </si>
  <si>
    <t>img</t>
    <phoneticPr fontId="18"/>
  </si>
  <si>
    <t>url</t>
    <phoneticPr fontId="18"/>
  </si>
  <si>
    <t>id</t>
    <phoneticPr fontId="18"/>
  </si>
  <si>
    <t>url</t>
    <phoneticPr fontId="18"/>
  </si>
  <si>
    <t>id</t>
    <phoneticPr fontId="18"/>
  </si>
  <si>
    <t>alt</t>
    <phoneticPr fontId="18"/>
  </si>
  <si>
    <t>img</t>
    <phoneticPr fontId="18"/>
  </si>
  <si>
    <t>url</t>
    <phoneticPr fontId="18"/>
  </si>
  <si>
    <t>description</t>
    <phoneticPr fontId="18"/>
  </si>
  <si>
    <t>kana</t>
    <phoneticPr fontId="18"/>
  </si>
  <si>
    <t>id</t>
    <phoneticPr fontId="18"/>
  </si>
  <si>
    <t>url</t>
    <phoneticPr fontId="18"/>
  </si>
  <si>
    <t>id</t>
    <phoneticPr fontId="18"/>
  </si>
  <si>
    <t>url</t>
    <phoneticPr fontId="18"/>
  </si>
  <si>
    <t>id</t>
    <phoneticPr fontId="18"/>
  </si>
  <si>
    <t>alt</t>
    <phoneticPr fontId="18"/>
  </si>
  <si>
    <t>img</t>
    <phoneticPr fontId="18"/>
  </si>
  <si>
    <t>url</t>
    <phoneticPr fontId="18"/>
  </si>
  <si>
    <t>description</t>
    <phoneticPr fontId="18"/>
  </si>
  <si>
    <t>kana</t>
    <phoneticPr fontId="18"/>
  </si>
  <si>
    <t>id</t>
    <phoneticPr fontId="18"/>
  </si>
  <si>
    <t>woman.hero.0.url</t>
  </si>
  <si>
    <t>woman.hero.0.img</t>
  </si>
  <si>
    <t>woman.hero.0.alt</t>
  </si>
  <si>
    <t>alt</t>
    <phoneticPr fontId="18"/>
  </si>
  <si>
    <t>url</t>
    <phoneticPr fontId="18"/>
  </si>
  <si>
    <t>id</t>
    <phoneticPr fontId="18"/>
  </si>
  <si>
    <t>alt</t>
    <phoneticPr fontId="18"/>
  </si>
  <si>
    <t>img</t>
    <phoneticPr fontId="18"/>
  </si>
  <si>
    <t>url</t>
    <phoneticPr fontId="18"/>
  </si>
  <si>
    <t>kana</t>
    <phoneticPr fontId="18"/>
  </si>
  <si>
    <t>id</t>
    <phoneticPr fontId="18"/>
  </si>
  <si>
    <t>description</t>
    <phoneticPr fontId="18"/>
  </si>
  <si>
    <t>url</t>
    <phoneticPr fontId="18"/>
  </si>
  <si>
    <t>id</t>
    <phoneticPr fontId="18"/>
  </si>
  <si>
    <t>size</t>
    <phoneticPr fontId="18"/>
  </si>
  <si>
    <t>url</t>
    <phoneticPr fontId="18"/>
  </si>
  <si>
    <t>kana</t>
    <phoneticPr fontId="18"/>
  </si>
  <si>
    <t>id</t>
    <phoneticPr fontId="18"/>
  </si>
  <si>
    <t>url</t>
    <phoneticPr fontId="18"/>
  </si>
  <si>
    <t>size</t>
    <phoneticPr fontId="18"/>
  </si>
  <si>
    <t>id</t>
    <phoneticPr fontId="18"/>
  </si>
  <si>
    <t>kana</t>
    <phoneticPr fontId="18"/>
  </si>
  <si>
    <t>url</t>
    <phoneticPr fontId="18"/>
  </si>
  <si>
    <t>id</t>
    <phoneticPr fontId="18"/>
  </si>
  <si>
    <t>url</t>
    <phoneticPr fontId="18"/>
  </si>
  <si>
    <t>kana</t>
    <phoneticPr fontId="18"/>
  </si>
  <si>
    <t>id</t>
    <phoneticPr fontId="18"/>
  </si>
  <si>
    <t>url</t>
    <phoneticPr fontId="18"/>
  </si>
  <si>
    <t>id</t>
    <phoneticPr fontId="18"/>
  </si>
  <si>
    <t>url</t>
    <phoneticPr fontId="18"/>
  </si>
  <si>
    <t>id</t>
    <phoneticPr fontId="18"/>
  </si>
  <si>
    <t>url</t>
    <phoneticPr fontId="18"/>
  </si>
  <si>
    <t>id</t>
    <phoneticPr fontId="18"/>
  </si>
  <si>
    <t>id</t>
    <phoneticPr fontId="18"/>
  </si>
  <si>
    <t>西ドイツ、オーバーシュバーベン地方の中心地、ライブハイムという街にあるニック社は、子ども達が繰返し長くよく遊べるように、創造性があることはもちろん、シンプルで堅牢な品質の高さに重きを置いた木製玩具を作っています。</t>
  </si>
  <si>
    <t>name</t>
    <phoneticPr fontId="18"/>
  </si>
  <si>
    <t>T</t>
    <phoneticPr fontId="18"/>
  </si>
  <si>
    <t>ウエア</t>
  </si>
  <si>
    <t>玩具</t>
  </si>
  <si>
    <t>アート・オブジェ</t>
  </si>
  <si>
    <t>キッチン雑貨</t>
  </si>
  <si>
    <t>アクセサリー</t>
  </si>
  <si>
    <t>ベビーウエア・ギフト</t>
  </si>
  <si>
    <t>キッズ雑貨</t>
  </si>
  <si>
    <t>ストール</t>
  </si>
  <si>
    <t>ハット</t>
  </si>
  <si>
    <t>ステーショナリー</t>
  </si>
  <si>
    <t>ボディケア</t>
  </si>
  <si>
    <t>ストール・バッグ</t>
  </si>
  <si>
    <t>ウエア・バッグ・傘</t>
  </si>
  <si>
    <t>target1</t>
    <phoneticPr fontId="18"/>
  </si>
  <si>
    <t>target2</t>
    <phoneticPr fontId="18"/>
  </si>
  <si>
    <t>brands.index.0.target1</t>
  </si>
  <si>
    <t>brands.index.0.target2</t>
  </si>
  <si>
    <t>brands.index.0.target3</t>
  </si>
  <si>
    <t>brands.index.1.target1</t>
  </si>
  <si>
    <t>brands.index.1.target2</t>
  </si>
  <si>
    <t>brands.index.1.target3</t>
  </si>
  <si>
    <t>brands.index.2.target1</t>
  </si>
  <si>
    <t>brands.index.2.target2</t>
  </si>
  <si>
    <t>brands.index.2.target3</t>
  </si>
  <si>
    <t>brands.index.3.target1</t>
  </si>
  <si>
    <t>brands.index.3.target2</t>
  </si>
  <si>
    <t>brands.index.3.target3</t>
  </si>
  <si>
    <t>brands.index.4.target1</t>
  </si>
  <si>
    <t>brands.index.4.target2</t>
  </si>
  <si>
    <t>brands.index.4.target3</t>
  </si>
  <si>
    <t>brands.index.5.target1</t>
  </si>
  <si>
    <t>brands.index.5.target2</t>
  </si>
  <si>
    <t>brands.index.5.target3</t>
  </si>
  <si>
    <t>brands.index.6.target1</t>
  </si>
  <si>
    <t>brands.index.6.target2</t>
  </si>
  <si>
    <t>brands.index.6.target3</t>
  </si>
  <si>
    <t>brands.index.7.target1</t>
  </si>
  <si>
    <t>brands.index.7.target2</t>
  </si>
  <si>
    <t>brands.index.7.target3</t>
  </si>
  <si>
    <t>brands.index.8.target1</t>
  </si>
  <si>
    <t>brands.index.8.target2</t>
  </si>
  <si>
    <t>brands.index.8.target3</t>
  </si>
  <si>
    <t>brands.index.9.target1</t>
  </si>
  <si>
    <t>brands.index.9.target2</t>
  </si>
  <si>
    <t>brands.index.9.target3</t>
  </si>
  <si>
    <t>brands.index.10.target1</t>
  </si>
  <si>
    <t>brands.index.10.target2</t>
  </si>
  <si>
    <t>brands.index.10.target3</t>
  </si>
  <si>
    <t>brands.index.11.target1</t>
  </si>
  <si>
    <t>brands.index.11.target2</t>
  </si>
  <si>
    <t>brands.index.11.target3</t>
  </si>
  <si>
    <t>brands.index.12.target1</t>
  </si>
  <si>
    <t>brands.index.12.target2</t>
  </si>
  <si>
    <t>brands.index.12.target3</t>
  </si>
  <si>
    <t>brands.index.13.target1</t>
  </si>
  <si>
    <t>brands.index.13.target2</t>
  </si>
  <si>
    <t>brands.index.13.target3</t>
  </si>
  <si>
    <t>brands.index.14.target1</t>
  </si>
  <si>
    <t>brands.index.14.target2</t>
  </si>
  <si>
    <t>brands.index.14.target3</t>
  </si>
  <si>
    <t>brands.index.15.target1</t>
  </si>
  <si>
    <t>brands.index.15.target2</t>
  </si>
  <si>
    <t>brands.index.15.target3</t>
  </si>
  <si>
    <t>brands.index.16.target1</t>
  </si>
  <si>
    <t>brands.index.16.target2</t>
  </si>
  <si>
    <t>brands.index.16.target3</t>
  </si>
  <si>
    <t>brands.index.17.target1</t>
  </si>
  <si>
    <t>brands.index.17.target2</t>
  </si>
  <si>
    <t>brands.index.17.target3</t>
  </si>
  <si>
    <t>brands.index.18.target1</t>
  </si>
  <si>
    <t>brands.index.18.target2</t>
  </si>
  <si>
    <t>brands.index.18.target3</t>
  </si>
  <si>
    <t>brands.index.19.target1</t>
  </si>
  <si>
    <t>brands.index.19.target2</t>
  </si>
  <si>
    <t>brands.index.19.target3</t>
  </si>
  <si>
    <t>brands.index.20.target1</t>
  </si>
  <si>
    <t>brands.index.20.target2</t>
  </si>
  <si>
    <t>brands.index.20.target3</t>
  </si>
  <si>
    <t>brands.index.21.target1</t>
  </si>
  <si>
    <t>brands.index.21.target2</t>
  </si>
  <si>
    <t>brands.index.21.target3</t>
  </si>
  <si>
    <t>brands.index.22.target1</t>
  </si>
  <si>
    <t>brands.index.22.target2</t>
  </si>
  <si>
    <t>brands.index.22.target3</t>
  </si>
  <si>
    <t>brands.index.23.target1</t>
  </si>
  <si>
    <t>brands.index.23.target2</t>
  </si>
  <si>
    <t>brands.index.23.target3</t>
  </si>
  <si>
    <t>brands.index.24.target1</t>
  </si>
  <si>
    <t>brands.index.24.target2</t>
  </si>
  <si>
    <t>brands.index.24.target3</t>
  </si>
  <si>
    <t>brands.index.25.target1</t>
  </si>
  <si>
    <t>brands.index.25.target2</t>
  </si>
  <si>
    <t>brands.index.25.target3</t>
  </si>
  <si>
    <t>brands.index.26.target1</t>
  </si>
  <si>
    <t>brands.index.26.target2</t>
  </si>
  <si>
    <t>brands.index.26.target3</t>
  </si>
  <si>
    <t>brands.index.27.target1</t>
  </si>
  <si>
    <t>brands.index.27.target2</t>
  </si>
  <si>
    <t>brands.index.27.target3</t>
  </si>
  <si>
    <t>brands.index.28.target1</t>
  </si>
  <si>
    <t>brands.index.28.target2</t>
  </si>
  <si>
    <t>brands.index.28.target3</t>
  </si>
  <si>
    <t>brands.index.29.target1</t>
  </si>
  <si>
    <t>brands.index.29.target2</t>
  </si>
  <si>
    <t>brands.index.29.target3</t>
  </si>
  <si>
    <t>brands.index.30.target1</t>
  </si>
  <si>
    <t>brands.index.30.target2</t>
  </si>
  <si>
    <t>brands.index.30.target3</t>
  </si>
  <si>
    <t>brands.index.31.target1</t>
  </si>
  <si>
    <t>brands.index.31.target2</t>
  </si>
  <si>
    <t>brands.index.31.target3</t>
  </si>
  <si>
    <t>brands.index.32.target1</t>
  </si>
  <si>
    <t>brands.index.32.target2</t>
  </si>
  <si>
    <t>brands.index.32.target3</t>
  </si>
  <si>
    <t>brands.index.33.target1</t>
  </si>
  <si>
    <t>brands.index.33.target2</t>
  </si>
  <si>
    <t>brands.index.33.target3</t>
  </si>
  <si>
    <t>brands.index.34.target1</t>
  </si>
  <si>
    <t>brands.index.34.target2</t>
  </si>
  <si>
    <t>brands.index.34.target3</t>
  </si>
  <si>
    <t>brands.index.35.target1</t>
  </si>
  <si>
    <t>brands.index.35.target2</t>
  </si>
  <si>
    <t>brands.index.35.target3</t>
  </si>
  <si>
    <t>brands.index.36.target1</t>
  </si>
  <si>
    <t>brands.index.36.target2</t>
  </si>
  <si>
    <t>brands.index.36.target3</t>
  </si>
  <si>
    <t>brands.index.37.target1</t>
  </si>
  <si>
    <t>brands.index.37.target2</t>
  </si>
  <si>
    <t>brands.index.37.target3</t>
  </si>
  <si>
    <t>brands.index.38.target1</t>
  </si>
  <si>
    <t>brands.index.38.target2</t>
  </si>
  <si>
    <t>brands.index.38.target3</t>
  </si>
  <si>
    <t>brands.index.39.target1</t>
  </si>
  <si>
    <t>brands.index.39.target2</t>
  </si>
  <si>
    <t>brands.index.39.target3</t>
  </si>
  <si>
    <t>brands.index.40.target1</t>
  </si>
  <si>
    <t>brands.index.40.target2</t>
  </si>
  <si>
    <t>brands.index.40.target3</t>
  </si>
  <si>
    <t>brands.index.41.target1</t>
  </si>
  <si>
    <t>brands.index.41.target2</t>
  </si>
  <si>
    <t>brands.index.41.target3</t>
  </si>
  <si>
    <t>brands.index.42.target1</t>
  </si>
  <si>
    <t>brands.index.42.target2</t>
  </si>
  <si>
    <t>brands.index.42.target3</t>
  </si>
  <si>
    <t>brands.index.43.target1</t>
  </si>
  <si>
    <t>brands.index.43.target2</t>
  </si>
  <si>
    <t>brands.index.43.target3</t>
  </si>
  <si>
    <t>brands.index.44.target1</t>
  </si>
  <si>
    <t>brands.index.44.target2</t>
  </si>
  <si>
    <t>brands.index.44.target3</t>
  </si>
  <si>
    <t>brands.index.45.target1</t>
  </si>
  <si>
    <t>brands.index.45.target2</t>
  </si>
  <si>
    <t>brands.index.45.target3</t>
  </si>
  <si>
    <t>brands.index.46.target1</t>
  </si>
  <si>
    <t>brands.index.46.target2</t>
  </si>
  <si>
    <t>brands.index.46.target3</t>
  </si>
  <si>
    <t>brands.index.47.target1</t>
  </si>
  <si>
    <t>brands.index.47.target2</t>
  </si>
  <si>
    <t>brands.index.47.target3</t>
  </si>
  <si>
    <t>brands.index.48.target1</t>
  </si>
  <si>
    <t>brands.index.48.target2</t>
  </si>
  <si>
    <t>brands.index.48.target3</t>
  </si>
  <si>
    <t>brands.index.49.target1</t>
  </si>
  <si>
    <t>brands.index.49.target2</t>
  </si>
  <si>
    <t>brands.index.49.target3</t>
  </si>
  <si>
    <t>brands.index.50.target1</t>
  </si>
  <si>
    <t>brands.index.50.target2</t>
  </si>
  <si>
    <t>brands.index.50.target3</t>
  </si>
  <si>
    <t>brands.index.51.target1</t>
  </si>
  <si>
    <t>brands.index.51.target2</t>
  </si>
  <si>
    <t>brands.index.51.target3</t>
  </si>
  <si>
    <t>brands.index.52.target1</t>
  </si>
  <si>
    <t>brands.index.52.target2</t>
  </si>
  <si>
    <t>brands.index.52.target3</t>
  </si>
  <si>
    <t>brands.index.53.target1</t>
  </si>
  <si>
    <t>brands.index.53.target2</t>
  </si>
  <si>
    <t>brands.index.53.target3</t>
  </si>
  <si>
    <t>brands.index.54.target1</t>
  </si>
  <si>
    <t>brands.index.54.target2</t>
  </si>
  <si>
    <t>brands.index.54.target3</t>
  </si>
  <si>
    <t>brands.index.55.target1</t>
  </si>
  <si>
    <t>brands.index.55.target2</t>
  </si>
  <si>
    <t>brands.index.55.target3</t>
  </si>
  <si>
    <t>brands.index.56.target1</t>
  </si>
  <si>
    <t>brands.index.56.target2</t>
  </si>
  <si>
    <t>brands.index.56.target3</t>
  </si>
  <si>
    <t>brands.index.57.target1</t>
  </si>
  <si>
    <t>brands.index.57.target2</t>
  </si>
  <si>
    <t>brands.index.57.target3</t>
  </si>
  <si>
    <t>brands.index.58.target1</t>
  </si>
  <si>
    <t>brands.index.58.target2</t>
  </si>
  <si>
    <t>brands.index.58.target3</t>
  </si>
  <si>
    <t>brands.index.59.target1</t>
  </si>
  <si>
    <t>brands.index.59.target2</t>
  </si>
  <si>
    <t>brands.index.59.target3</t>
  </si>
  <si>
    <t>brands.index.60.target1</t>
  </si>
  <si>
    <t>brands.index.60.target2</t>
  </si>
  <si>
    <t>brands.index.60.target3</t>
  </si>
  <si>
    <t>brands.index.61.target1</t>
  </si>
  <si>
    <t>brands.index.61.target2</t>
  </si>
  <si>
    <t>brands.index.61.target3</t>
  </si>
  <si>
    <t>brands.index.62.target1</t>
  </si>
  <si>
    <t>brands.index.62.target2</t>
  </si>
  <si>
    <t>brands.index.62.target3</t>
  </si>
  <si>
    <t>brands.index.63.target1</t>
  </si>
  <si>
    <t>brands.index.63.target2</t>
  </si>
  <si>
    <t>brands.index.63.target3</t>
  </si>
  <si>
    <t>brands.index.64.target1</t>
  </si>
  <si>
    <t>brands.index.64.target2</t>
  </si>
  <si>
    <t>brands.index.64.target3</t>
  </si>
  <si>
    <t>brands.index.65.target1</t>
  </si>
  <si>
    <t>brands.index.65.target2</t>
  </si>
  <si>
    <t>brands.index.65.target3</t>
  </si>
  <si>
    <t>brands.index.66.target1</t>
  </si>
  <si>
    <t>brands.index.66.target2</t>
  </si>
  <si>
    <t>brands.index.66.target3</t>
  </si>
  <si>
    <t>brands.index.67.target1</t>
  </si>
  <si>
    <t>brands.index.67.target2</t>
  </si>
  <si>
    <t>brands.index.67.target3</t>
  </si>
  <si>
    <t>brands.index.68.target1</t>
  </si>
  <si>
    <t>brands.index.68.target2</t>
  </si>
  <si>
    <t>brands.index.68.target3</t>
  </si>
  <si>
    <t>brands.index.69.target1</t>
  </si>
  <si>
    <t>brands.index.69.target2</t>
  </si>
  <si>
    <t>brands.index.69.target3</t>
  </si>
  <si>
    <t>brands.index.70.target1</t>
  </si>
  <si>
    <t>brands.index.70.target2</t>
  </si>
  <si>
    <t>brands.index.70.target3</t>
  </si>
  <si>
    <t>brands.index.71.target1</t>
  </si>
  <si>
    <t>brands.index.71.target2</t>
  </si>
  <si>
    <t>brands.index.71.target3</t>
  </si>
  <si>
    <t>brands.index.72.target1</t>
  </si>
  <si>
    <t>brands.index.72.target2</t>
  </si>
  <si>
    <t>brands.index.72.target3</t>
  </si>
  <si>
    <t>brands.index.73.target1</t>
  </si>
  <si>
    <t>brands.index.73.target2</t>
  </si>
  <si>
    <t>brands.index.73.target3</t>
  </si>
  <si>
    <t>brands.index.74.target1</t>
  </si>
  <si>
    <t>brands.index.74.target2</t>
  </si>
  <si>
    <t>brands.index.74.target3</t>
  </si>
  <si>
    <t>brands.index.75.target1</t>
  </si>
  <si>
    <t>brands.index.75.target2</t>
  </si>
  <si>
    <t>brands.index.75.target3</t>
  </si>
  <si>
    <t>brands.index.76.target1</t>
  </si>
  <si>
    <t>brands.index.76.target2</t>
  </si>
  <si>
    <t>brands.index.76.target3</t>
  </si>
  <si>
    <t>brands.index.77.target1</t>
  </si>
  <si>
    <t>brands.index.77.target2</t>
  </si>
  <si>
    <t>brands.index.77.target3</t>
  </si>
  <si>
    <t>brands.index.78.target1</t>
  </si>
  <si>
    <t>brands.index.78.target2</t>
  </si>
  <si>
    <t>brands.index.78.target3</t>
  </si>
  <si>
    <t>brands.index.79.target1</t>
  </si>
  <si>
    <t>brands.index.79.target2</t>
  </si>
  <si>
    <t>brands.index.79.target3</t>
  </si>
  <si>
    <t>brands.index.80.target1</t>
  </si>
  <si>
    <t>brands.index.80.target2</t>
  </si>
  <si>
    <t>brands.index.80.target3</t>
  </si>
  <si>
    <t>brands.index.81.target1</t>
  </si>
  <si>
    <t>brands.index.81.target2</t>
  </si>
  <si>
    <t>brands.index.81.target3</t>
  </si>
  <si>
    <t>brands.index.82.target1</t>
  </si>
  <si>
    <t>brands.index.82.target2</t>
  </si>
  <si>
    <t>brands.index.82.target3</t>
  </si>
  <si>
    <t>brands.index.83.target1</t>
  </si>
  <si>
    <t>brands.index.83.target2</t>
  </si>
  <si>
    <t>brands.index.83.target3</t>
  </si>
  <si>
    <t>brands.index.84.target1</t>
  </si>
  <si>
    <t>brands.index.84.target2</t>
  </si>
  <si>
    <t>brands.index.84.target3</t>
  </si>
  <si>
    <t>brands.index.85.target1</t>
  </si>
  <si>
    <t>brands.index.85.target2</t>
  </si>
  <si>
    <t>brands.index.85.target3</t>
  </si>
  <si>
    <t>brands.index.86.target1</t>
  </si>
  <si>
    <t>brands.index.86.target2</t>
  </si>
  <si>
    <t>brands.index.86.target3</t>
  </si>
  <si>
    <t>brands.index.87.target1</t>
  </si>
  <si>
    <t>brands.index.87.target2</t>
  </si>
  <si>
    <t>brands.index.87.target3</t>
  </si>
  <si>
    <t>brands.index.88.target1</t>
  </si>
  <si>
    <t>brands.index.88.target2</t>
  </si>
  <si>
    <t>brands.index.88.target3</t>
  </si>
  <si>
    <t>brands.index.89.target1</t>
  </si>
  <si>
    <t>brands.index.89.target2</t>
  </si>
  <si>
    <t>brands.index.89.target3</t>
  </si>
  <si>
    <t>brands.index.90.target1</t>
  </si>
  <si>
    <t>brands.index.90.target2</t>
  </si>
  <si>
    <t>brands.index.90.target3</t>
  </si>
  <si>
    <t>brands.index.91.target1</t>
  </si>
  <si>
    <t>brands.index.91.target2</t>
  </si>
  <si>
    <t>brands.index.91.target3</t>
  </si>
  <si>
    <t>brands.index.92.target1</t>
  </si>
  <si>
    <t>brands.index.92.target2</t>
  </si>
  <si>
    <t>brands.index.92.target3</t>
  </si>
  <si>
    <t>brands.index.93.target1</t>
  </si>
  <si>
    <t>brands.index.93.target2</t>
  </si>
  <si>
    <t>brands.index.93.target3</t>
  </si>
  <si>
    <t>brands.index.94.target1</t>
  </si>
  <si>
    <t>brands.index.94.target2</t>
  </si>
  <si>
    <t>brands.index.94.target3</t>
  </si>
  <si>
    <t>brands.index.95.target1</t>
  </si>
  <si>
    <t>brands.index.95.target2</t>
  </si>
  <si>
    <t>brands.index.95.target3</t>
  </si>
  <si>
    <t>brands.index.96.target1</t>
  </si>
  <si>
    <t>brands.index.96.target2</t>
  </si>
  <si>
    <t>brands.index.96.target3</t>
  </si>
  <si>
    <t>brands.index.97.target1</t>
  </si>
  <si>
    <t>brands.index.97.target2</t>
  </si>
  <si>
    <t>brands.index.97.target3</t>
  </si>
  <si>
    <t>brands.index.98.target1</t>
  </si>
  <si>
    <t>brands.index.98.target2</t>
  </si>
  <si>
    <t>brands.index.98.target3</t>
  </si>
  <si>
    <t>alt</t>
    <phoneticPr fontId="18"/>
  </si>
  <si>
    <t>target3</t>
    <phoneticPr fontId="18"/>
  </si>
  <si>
    <t>icon</t>
    <phoneticPr fontId="18"/>
  </si>
  <si>
    <t>item-k-ballet</t>
    <phoneticPr fontId="18"/>
  </si>
  <si>
    <t>/fs/lilietnene/c/item-l-dress-all</t>
    <phoneticPr fontId="18"/>
  </si>
  <si>
    <t>/fs/lilietnene/c/item-l-tops-all</t>
    <phoneticPr fontId="18"/>
  </si>
  <si>
    <t>/fs/lilietnene/c/item-l-bottoms-all</t>
    <phoneticPr fontId="18"/>
  </si>
  <si>
    <t>/fs/lilietnene/c/item-l-outer-all</t>
    <phoneticPr fontId="18"/>
  </si>
  <si>
    <t>brand</t>
    <phoneticPr fontId="18"/>
  </si>
  <si>
    <t>current</t>
    <phoneticPr fontId="18"/>
  </si>
  <si>
    <t>priority</t>
    <phoneticPr fontId="18"/>
  </si>
  <si>
    <t>filtering</t>
    <phoneticPr fontId="18"/>
  </si>
  <si>
    <t>EGMONT TOYS</t>
  </si>
  <si>
    <t>ELIZABETH W</t>
  </si>
  <si>
    <t>FLAMANT</t>
  </si>
  <si>
    <t>RS GLOBAL TRADE</t>
  </si>
  <si>
    <t>TAU</t>
  </si>
  <si>
    <t>LA BOTTEGA DI GIORGIA</t>
    <phoneticPr fontId="18"/>
  </si>
  <si>
    <t>baby.hero.0.title</t>
  </si>
  <si>
    <t>baby.hero.0.brand</t>
  </si>
  <si>
    <t>baby.hero.0.update</t>
  </si>
  <si>
    <t>baby.item.0.icon</t>
  </si>
  <si>
    <t>item-b-dress</t>
  </si>
  <si>
    <t>baby.item.1.icon</t>
  </si>
  <si>
    <t>item-b-tops</t>
  </si>
  <si>
    <t>baby.item.2.icon</t>
  </si>
  <si>
    <t>item-b-bottoms</t>
  </si>
  <si>
    <t>baby.item.3.icon</t>
  </si>
  <si>
    <t>item-b-shoes</t>
  </si>
  <si>
    <t>baby.item.4.icon</t>
  </si>
  <si>
    <t>item-b-acc-goods</t>
  </si>
  <si>
    <t>baby.item.5.icon</t>
  </si>
  <si>
    <t>item-b-roomwear</t>
  </si>
  <si>
    <t>baby.item.6.icon</t>
  </si>
  <si>
    <t>item-b-outer</t>
  </si>
  <si>
    <t>baby.item.7.icon</t>
  </si>
  <si>
    <t>baby.item.8.icon</t>
  </si>
  <si>
    <t>item-b-rompers</t>
  </si>
  <si>
    <t>baby.item.9.icon</t>
  </si>
  <si>
    <t>item-b-acc-goods-tights-socks</t>
  </si>
  <si>
    <t>baby.item.10.icon</t>
  </si>
  <si>
    <t>item-b-bottoms-leggins</t>
  </si>
  <si>
    <t>baby.item.11.icon</t>
  </si>
  <si>
    <t>item-b-boys</t>
  </si>
  <si>
    <t>現代的でミニマルなデザインと上質なコットンの肌触りが人気</t>
  </si>
  <si>
    <t>baby.brand.0.current</t>
  </si>
  <si>
    <t>baby.brand.0.priority</t>
  </si>
  <si>
    <t>イタリアのベビー＆キッズブランド、ベイブアンドテス</t>
  </si>
  <si>
    <t>baby.brand.1.current</t>
  </si>
  <si>
    <t>baby.brand.1.priority</t>
  </si>
  <si>
    <t>世界中から愛されているパリの老舗ブランド、ボンポワン</t>
  </si>
  <si>
    <t>baby.brand.2.current</t>
  </si>
  <si>
    <t>baby.brand.2.priority</t>
  </si>
  <si>
    <t>パリで一番元気な子供服ブランド、ボントン</t>
  </si>
  <si>
    <t>baby.brand.3.current</t>
  </si>
  <si>
    <t>baby.brand.3.priority</t>
  </si>
  <si>
    <t>英国の人気子供服ブランド、キャラメル</t>
  </si>
  <si>
    <t>baby.brand.4.current</t>
  </si>
  <si>
    <t>baby.brand.4.priority</t>
  </si>
  <si>
    <t>デンマーク発の老舗子供服ブランド</t>
  </si>
  <si>
    <t>baby.brand.5.current</t>
  </si>
  <si>
    <t>baby.brand.5.priority</t>
  </si>
  <si>
    <t>オーガニックコットンを使ったシンプルでスタイリッシュなクプリオ</t>
  </si>
  <si>
    <t>baby.brand.6.current</t>
  </si>
  <si>
    <t>baby.brand.6.priority</t>
  </si>
  <si>
    <t>パリのエスプリの効いたデザインが人気のエミール エ イダ</t>
  </si>
  <si>
    <t>baby.brand.7.current</t>
  </si>
  <si>
    <t>baby.brand.7.priority</t>
  </si>
  <si>
    <t>プリントや素材使いでベーシックなデザインを洗練させた、ゴールド</t>
  </si>
  <si>
    <t>baby.brand.8.current</t>
  </si>
  <si>
    <t>baby.brand.8.priority</t>
  </si>
  <si>
    <t>パリのシンプル＆ベーシックカジュアル、ハートフォード</t>
  </si>
  <si>
    <t>baby.brand.9.current</t>
  </si>
  <si>
    <t>baby.brand.9.priority</t>
  </si>
  <si>
    <t>ミックスカルチャーからインスパイアされたデザインが魅力のケティケタ</t>
  </si>
  <si>
    <t>baby.brand.10.current</t>
  </si>
  <si>
    <t>baby.brand.10.priority</t>
  </si>
  <si>
    <t>NYとヨーロッパのイメージをMIXした雰囲気が人気のマキエ</t>
  </si>
  <si>
    <t>baby.brand.11.current</t>
  </si>
  <si>
    <t>baby.brand.11.priority</t>
  </si>
  <si>
    <t>baby.brand.12.current</t>
  </si>
  <si>
    <t>baby.brand.12.priority</t>
  </si>
  <si>
    <t>ベビーからレディースまで揃うイタリアの老舗シューズブランド、ペペ</t>
  </si>
  <si>
    <t>baby.brand.13.current</t>
  </si>
  <si>
    <t>baby.brand.13.priority</t>
  </si>
  <si>
    <t>あらゆる世代に受け入れられているフランスの国民的ブランド、プチバトー</t>
  </si>
  <si>
    <t>フランスでは「Vogue」や「milk」などでも紹介されている人気子供服ブランド。</t>
  </si>
  <si>
    <t>kids.item.0.icon</t>
  </si>
  <si>
    <t>item-k-dress</t>
  </si>
  <si>
    <t>kids.item.1.icon</t>
  </si>
  <si>
    <t>item-k-tops</t>
  </si>
  <si>
    <t>kids.item.2.icon</t>
  </si>
  <si>
    <t>item-k-bottoms</t>
  </si>
  <si>
    <t>kids.item.3.icon</t>
  </si>
  <si>
    <t>item-k-inner-pajamas</t>
  </si>
  <si>
    <t>kids.item.4.icon</t>
  </si>
  <si>
    <t>item-k-shoes</t>
  </si>
  <si>
    <t>kids.item.5.icon</t>
  </si>
  <si>
    <t>item-k-acc-goods</t>
  </si>
  <si>
    <t>kids.item.6.icon</t>
  </si>
  <si>
    <t>item-k-acc-goods-tights-socks</t>
  </si>
  <si>
    <t>kids.item.7.icon</t>
  </si>
  <si>
    <t>item-k-bottoms-leggins</t>
  </si>
  <si>
    <t>kids.item.8.icon</t>
  </si>
  <si>
    <t>item-k-outer</t>
  </si>
  <si>
    <t>kids.item.9.icon</t>
  </si>
  <si>
    <t>item-k-swimwear</t>
  </si>
  <si>
    <t>kids.item.10.icon</t>
  </si>
  <si>
    <t>item-k-ballet</t>
  </si>
  <si>
    <t>kids.item.11.icon</t>
  </si>
  <si>
    <t>item-k-boys</t>
  </si>
  <si>
    <t>kids.brand.0.current</t>
  </si>
  <si>
    <t>kids.brand.0.priority</t>
  </si>
  <si>
    <t>ベルギーから見たアメリカンカジュアルスタイルがコンセプト</t>
  </si>
  <si>
    <t>kids.brand.1.current</t>
  </si>
  <si>
    <t>kids.brand.1.priority</t>
  </si>
  <si>
    <t>kids.brand.2.current</t>
  </si>
  <si>
    <t>kids.brand.2.priority</t>
  </si>
  <si>
    <t>カジュアルなテイストが人気のベルローズ</t>
  </si>
  <si>
    <t>kids.brand.3.current</t>
  </si>
  <si>
    <t>kids.brand.3.priority</t>
  </si>
  <si>
    <t>パリジェンヌから愛されているスニーカーブランド、ベンシモン</t>
  </si>
  <si>
    <t>kids.brand.4.current</t>
  </si>
  <si>
    <t>kids.brand.4.priority</t>
  </si>
  <si>
    <t>240年以上の歴史のあるドイツの靴ブランド</t>
  </si>
  <si>
    <t>kids.brand.5.current</t>
  </si>
  <si>
    <t>kids.brand.5.priority</t>
  </si>
  <si>
    <t>kids.brand.6.current</t>
  </si>
  <si>
    <t>kids.brand.6.priority</t>
  </si>
  <si>
    <t>kids.brand.7.current</t>
  </si>
  <si>
    <t>kids.brand.7.priority</t>
  </si>
  <si>
    <t>kids.brand.8.current</t>
  </si>
  <si>
    <t>kids.brand.8.priority</t>
  </si>
  <si>
    <t>kids.brand.9.current</t>
  </si>
  <si>
    <t>kids.brand.9.priority</t>
  </si>
  <si>
    <t>kids.brand.10.current</t>
  </si>
  <si>
    <t>kids.brand.10.priority</t>
  </si>
  <si>
    <t>kids.brand.11.current</t>
  </si>
  <si>
    <t>kids.brand.11.priority</t>
  </si>
  <si>
    <t>kids.brand.12.current</t>
  </si>
  <si>
    <t>kids.brand.12.priority</t>
  </si>
  <si>
    <t>kids.brand.13.current</t>
  </si>
  <si>
    <t>kids.brand.13.priority</t>
  </si>
  <si>
    <t>素材の質を大切にしたイタリアのブランド</t>
  </si>
  <si>
    <t>kids.brand.14.current</t>
  </si>
  <si>
    <t>kids.brand.14.priority</t>
  </si>
  <si>
    <t>英国の老舗ブランド、ラベンハム</t>
  </si>
  <si>
    <t>kids.brand.15.current</t>
  </si>
  <si>
    <t>kids.brand.15.priority</t>
  </si>
  <si>
    <t>キッズからレディースまで揃う時代に流されないタイムレスなコレクション</t>
  </si>
  <si>
    <t>kids.brand.16.current</t>
  </si>
  <si>
    <t>kids.brand.16.priority</t>
  </si>
  <si>
    <t>kids.brand.17.current</t>
  </si>
  <si>
    <t>kids.brand.17.priority</t>
  </si>
  <si>
    <t>kids.brand.18.current</t>
  </si>
  <si>
    <t>kids.brand.18.priority</t>
  </si>
  <si>
    <t>丁寧な製法とナチュラルな素材にこだわったベルギーのシューズブランド</t>
  </si>
  <si>
    <t>kids.brand.19.current</t>
  </si>
  <si>
    <t>kids.brand.19.priority</t>
  </si>
  <si>
    <t>kids.brand.20.current</t>
  </si>
  <si>
    <t>kids.brand.20.priority</t>
  </si>
  <si>
    <t>パリを拠点とするブランド「NORO (ノロ) 」。ナチュラルでありながら洗練されたコレクション</t>
  </si>
  <si>
    <t>kids.brand.21.current</t>
  </si>
  <si>
    <t>kids.brand.21.priority</t>
  </si>
  <si>
    <t>kids.brand.22.current</t>
  </si>
  <si>
    <t>kids.brand.22.priority</t>
  </si>
  <si>
    <t>kids.brand.23.current</t>
  </si>
  <si>
    <t>kids.brand.23.priority</t>
  </si>
  <si>
    <t>フレンチシックで洗練されたデザインが人気</t>
  </si>
  <si>
    <t>kids.brand.24.current</t>
  </si>
  <si>
    <t>kids.brand.24.priority</t>
  </si>
  <si>
    <t>クラシックバレエシューズウェアのトップブランド、レペット</t>
  </si>
  <si>
    <t>kids.brand.25.current</t>
  </si>
  <si>
    <t>kids.brand.25.priority</t>
  </si>
  <si>
    <t>スタイリッシュなデザインのラフィアバッグや帽子で有名なサンアルシデ</t>
  </si>
  <si>
    <t>上品な中にもキュートさがのぞくコレクション</t>
  </si>
  <si>
    <t>/fs/lilietnene/c/item-l-dress-all</t>
  </si>
  <si>
    <t>woman.item.0.icon</t>
  </si>
  <si>
    <t>item-l-dress</t>
  </si>
  <si>
    <t>/fs/lilietnene/c/item-l-tops-all</t>
  </si>
  <si>
    <t>woman.item.1.icon</t>
  </si>
  <si>
    <t>item-l-tops</t>
  </si>
  <si>
    <t>/fs/lilietnene/c/item-l-bottoms-all</t>
  </si>
  <si>
    <t>woman.item.2.icon</t>
  </si>
  <si>
    <t>item-l-bottoms</t>
  </si>
  <si>
    <t>/fs/lilietnene/c/item-l-outer-all</t>
  </si>
  <si>
    <t>woman.item.3.icon</t>
  </si>
  <si>
    <t>item-l-outer</t>
  </si>
  <si>
    <t>/fs/lilietnene/c/item-l-acc-goods-bag</t>
  </si>
  <si>
    <t>woman.item.4.icon</t>
  </si>
  <si>
    <t>/fs/lilietnene/c/item-l-acc-goods-scarf-stole</t>
  </si>
  <si>
    <t>woman.item.5.icon</t>
  </si>
  <si>
    <t>機能性や履き心地とともに、女性的でしなやかなフォルムが魅力</t>
  </si>
  <si>
    <t>英国発、上質な素材にこだわった現代的なコレクション</t>
  </si>
  <si>
    <t>スペインのエスパドリーユ老舗ブランド、カスタニェール</t>
  </si>
  <si>
    <t>上質なシルクや天然素材を使用したハンドメイドのアクセサリー</t>
  </si>
  <si>
    <t>世界中にファンを広げる、今注目のブランド、チャンルー</t>
  </si>
  <si>
    <t>ロンドンのトレンドをエッセンスに、シックで上質なコレクションを展開</t>
  </si>
  <si>
    <t>熟練した職人の編みこみによるレザーメッシュが大人気</t>
  </si>
  <si>
    <t>若々しく行動的、洗練された女性のために捧げたコレクション</t>
  </si>
  <si>
    <t>イタリアの老舗ブランド、ラグジュアリーなデザインが人気</t>
  </si>
  <si>
    <t>シンプルでありながらフェミニンなデザインが好評のヒューマノイド</t>
  </si>
  <si>
    <t>パリ発の現代的な感覚のコレクションが人気</t>
  </si>
  <si>
    <t>EPICEのデザイナー、Bess Nielseが立ち上げたファブリックブランド</t>
  </si>
  <si>
    <t>糸から選んで製品にするまでを自社で行うこだわりのブランド</t>
  </si>
  <si>
    <t>着るひとの個性を惹きたたせるミニマルでモダンなデザインが魅力</t>
  </si>
  <si>
    <t>フランスのショレでスタートしたファクトリーブランド</t>
  </si>
  <si>
    <t>MADE IN FRANCEのデザインとクオリティでヨーロッパ各国で愛されているブランド</t>
  </si>
  <si>
    <t>1903年にオーストリア・ウィーンで創業された老舗帽子ブランド</t>
  </si>
  <si>
    <t>伝統的な手法でハンドメイドされたカゴバッグのブランド</t>
  </si>
  <si>
    <t>イタリア・ミラノの老舗バレエシューズブランド</t>
  </si>
  <si>
    <t>時代に左右されることなく、時を経ても新鮮さを失わない上質さが人気</t>
  </si>
  <si>
    <t>世界中にファンが広がるソフィー・ディガールのアクセサリー</t>
  </si>
  <si>
    <t>ボヘミアン、シック、ロック、クラシックなど様々なエレメンツを詰め込んだ、タイムレスなデザイン</t>
  </si>
  <si>
    <t>英国「マッキントッシュ」社のセカンドライン、トラディショナルウェザーウェア</t>
  </si>
  <si>
    <t>ベーシックなアイテムに今の気分を取り入れたニュースタンダードが人気のティ・ヤマイ</t>
  </si>
  <si>
    <t>子どもたちが気持ちよく着られるものをコンセプトに、クラシカルな中にもどこか新鮮でスタイリッシュなイメージをとり入れた個性的なコレクションを展開する、ロンドンのブランド『CARAMEL（キャラメル）』。</t>
  </si>
  <si>
    <t>1979年にフランスで創立されたHartford。現在では『オルタナティブ・クラシックス』のポリシーで洗練されたリアルクローズコレクションを展開。キッズとレディースラインをセレクト。</t>
  </si>
  <si>
    <t>マデロンとナタリー姉妹がエルメスを経て2000年にスタートしたブランド。スタイリッシュなアパレルアイテムや、さりげなく身に着けたい洗練されたデザインのアクセサリーが人気です。</t>
  </si>
  <si>
    <t>1949年、フランスのショレでスタートしたファクトリーブランド。メイドインフランスであることに誇りを持ち、履き心地と上質な素材感、洗練された確かなものづくりにこだわった「NEWSTALGIQYE（新しいノスタルジア）」なシューズコレクションを展開しています。</t>
  </si>
  <si>
    <t>ムーニュは、アフリカの言葉で「笑顔」を意味する、フランス人と日本人デザイナーによるブランド。天然素材のエレファントグラスを使用したカゴバッグは耐久性に優れ、染色に使用する材料はオーガニック素材を使用。洗練されたデザインと高品質な技術の絶妙なコラボレーションが魅力的です。</t>
  </si>
  <si>
    <t>brands.index.0.filtering</t>
  </si>
  <si>
    <t>brands.index.1.filtering</t>
  </si>
  <si>
    <t>brands.index.2.filtering</t>
  </si>
  <si>
    <t>アンクレールプティ</t>
  </si>
  <si>
    <t>ANNE-CLAIRE PETIT アンクレールプティ</t>
  </si>
  <si>
    <t>brands.index.3.filtering</t>
  </si>
  <si>
    <t>brands.index.4.filtering</t>
  </si>
  <si>
    <t>brands.index.5.filtering</t>
  </si>
  <si>
    <t>brands.index.6.filtering</t>
  </si>
  <si>
    <t>brands.index.7.filtering</t>
  </si>
  <si>
    <t>brands.index.8.filtering</t>
  </si>
  <si>
    <t>brands.index.9.filtering</t>
  </si>
  <si>
    <t>brands.index.10.filtering</t>
  </si>
  <si>
    <t>brands.index.11.filtering</t>
  </si>
  <si>
    <t>brands.index.12.filtering</t>
  </si>
  <si>
    <t>brands.index.13.filtering</t>
  </si>
  <si>
    <t>brands.index.14.filtering</t>
  </si>
  <si>
    <t>brands.index.15.filtering</t>
  </si>
  <si>
    <t>brands.index.16.filtering</t>
  </si>
  <si>
    <t>brands.index.17.filtering</t>
  </si>
  <si>
    <t>鎌倉にあるベビーギフトと輸入雑貨のコンセプトショップ「COUPRIO」のオリジナルブランド。ナチュラル＆シンプルをテーマにフレンチシックなセレクトアイテムを揃えています。赤ちゃんにやさしいオーガニックコットンのアイテムは、ご出産祝いの贈り物としても人気です。</t>
  </si>
  <si>
    <t>brands.index.18.filtering</t>
  </si>
  <si>
    <t>brands.index.19.filtering</t>
  </si>
  <si>
    <t>brands.index.20.filtering</t>
  </si>
  <si>
    <t>エグモントトイズ</t>
  </si>
  <si>
    <t>ヨーロッパのおもちゃを取り扱うベルギーのセレクトブランド、Egmont toys(エグモントトイズ)社。良質でしっかりとしたおもちゃは世界中で広く愛されています。</t>
  </si>
  <si>
    <t>/fs/lilietnene/c/egmonttoys</t>
  </si>
  <si>
    <t>EGMONT TOYS エグモントトイズ</t>
  </si>
  <si>
    <t>brands.index.21.filtering</t>
  </si>
  <si>
    <t>brands.index.22.filtering</t>
  </si>
  <si>
    <t>エリザベスダブリュー</t>
  </si>
  <si>
    <t>エリザベスダブリューは、老舗の香水専門店からスタートした、アメリカサンフランシスコ生まれのブランド。上質な素材と洗練されたデザインのフレグランスやハンドクリーム、バスアイテムを作っています。</t>
  </si>
  <si>
    <t>/fs/lilietnene/c/elizabethw</t>
  </si>
  <si>
    <t>ELIZABETH W エリザベスダブリュー</t>
  </si>
  <si>
    <t>フレグランス</t>
  </si>
  <si>
    <t>brands.index.23.filtering</t>
  </si>
  <si>
    <t>brands.index.24.filtering</t>
  </si>
  <si>
    <t>brands.index.25.filtering</t>
  </si>
  <si>
    <t>brands.index.26.filtering</t>
  </si>
  <si>
    <t>brands.index.27.filtering</t>
  </si>
  <si>
    <t>フラマン</t>
  </si>
  <si>
    <t>フラマン社はベルギー・フランスを中心にヨーロッパでコンセプトショップを展開し、20年以上に渡って人々に広く親しまれ、常にインテリア業界をリードしてきました。</t>
  </si>
  <si>
    <t>FLAMANT フラマン</t>
  </si>
  <si>
    <t>インテリア・ハウスウエア</t>
  </si>
  <si>
    <t>brands.index.28.filtering</t>
  </si>
  <si>
    <t>brands.index.29.filtering</t>
  </si>
  <si>
    <t>brands.index.30.filtering</t>
  </si>
  <si>
    <t>brands.index.31.filtering</t>
  </si>
  <si>
    <t>brands.index.32.filtering</t>
  </si>
  <si>
    <t>brands.index.33.filtering</t>
  </si>
  <si>
    <t>brands.index.34.filtering</t>
  </si>
  <si>
    <t>Hubsch（ヒュプシュ）は、デンマークのインテリアブランド。Happinessをキーワードに、ハイクオリティなインテリアデザインを独自のスタイルで手掛けています。ディテールにこだわったコレクションは、使う人々の視点に立ち作り上げられています。</t>
  </si>
  <si>
    <t>brands.index.35.filtering</t>
  </si>
  <si>
    <t>brands.index.36.filtering</t>
  </si>
  <si>
    <t>brands.index.37.filtering</t>
  </si>
  <si>
    <t>brands.index.38.filtering</t>
  </si>
  <si>
    <t>brands.index.39.filtering</t>
  </si>
  <si>
    <t>brands.index.40.filtering</t>
  </si>
  <si>
    <t>brands.index.41.filtering</t>
  </si>
  <si>
    <t>1910年、Kaethe Kruse夫人が手作りおもちゃ展に出品した人形が評判となり、ドイツの代表的人形としての地位を確立。『手のぬくもりは心に必ず通じるものであり、それが一番シンプルに形に表せるものして「人形」ほど説得力があるものは他にない』という夫人の信条は今も引き継がれています。</t>
  </si>
  <si>
    <t>brands.index.42.filtering</t>
  </si>
  <si>
    <t>brands.index.43.filtering</t>
  </si>
  <si>
    <t>ウエア・雑貨</t>
  </si>
  <si>
    <t>brands.index.44.filtering</t>
  </si>
  <si>
    <t>brands.index.45.filtering</t>
  </si>
  <si>
    <t>brands.index.46.filtering</t>
  </si>
  <si>
    <t>brands.index.47.filtering</t>
  </si>
  <si>
    <t>brands.index.48.filtering</t>
  </si>
  <si>
    <t>2007年にアンヌ・ユベールによってスタートしたフランスのブランド。「LA CERISE SUR LE GATEAU」は「ケーキの上のさくらんぼ」という意味。クラシックなフランスのホームリネンを現代風にアレンジし、キュートでエスプリを効かせたデザインが人気。</t>
  </si>
  <si>
    <t>brands.index.49.filtering</t>
  </si>
  <si>
    <t>brands.index.50.filtering</t>
  </si>
  <si>
    <t>brands.index.51.filtering</t>
  </si>
  <si>
    <t>brands.index.52.filtering</t>
  </si>
  <si>
    <t>brands.index.53.filtering</t>
  </si>
  <si>
    <t>brands.index.54.filtering</t>
  </si>
  <si>
    <t>brands.index.55.filtering</t>
  </si>
  <si>
    <t>brands.index.56.filtering</t>
  </si>
  <si>
    <t>brands.index.57.filtering</t>
  </si>
  <si>
    <t>brands.index.58.filtering</t>
  </si>
  <si>
    <t>brands.index.59.filtering</t>
  </si>
  <si>
    <t>brands.index.60.filtering</t>
  </si>
  <si>
    <t>brands.index.61.filtering</t>
  </si>
  <si>
    <t>brands.index.62.filtering</t>
  </si>
  <si>
    <t>MUSKHANE（ムスカン）は、ValerieとThierry夫妻がネパールのヒマラヤ地域の美しい自然や人々の素晴らしさに魅了されて立ち上げたブランド。パリのデザインと、ネパールのハンドメイド技術、カトマンズのオーガニック素材をマッチさせた、フェルトやカシミヤのアイテムがパリジェンヌの間で人気です。</t>
  </si>
  <si>
    <t>brands.index.63.filtering</t>
  </si>
  <si>
    <t>brands.index.64.filtering</t>
  </si>
  <si>
    <t>brands.index.65.filtering</t>
  </si>
  <si>
    <t>brands.index.66.filtering</t>
  </si>
  <si>
    <t>brands.index.67.filtering</t>
  </si>
  <si>
    <t>brands.index.68.filtering</t>
  </si>
  <si>
    <t>brands.index.69.filtering</t>
  </si>
  <si>
    <t>brands.index.70.filtering</t>
  </si>
  <si>
    <t>brands.index.71.filtering</t>
  </si>
  <si>
    <t>brands.index.72.filtering</t>
  </si>
  <si>
    <t>brands.index.73.filtering</t>
  </si>
  <si>
    <t>brands.index.74.filtering</t>
  </si>
  <si>
    <t>brands.index.75.filtering</t>
  </si>
  <si>
    <t>brands.index.76.filtering</t>
  </si>
  <si>
    <t>brands.index.77.filtering</t>
  </si>
  <si>
    <t>brands.index.78.filtering</t>
  </si>
  <si>
    <t>brands.index.79.filtering</t>
  </si>
  <si>
    <t>brands.index.80.filtering</t>
  </si>
  <si>
    <t>brands.index.81.filtering</t>
  </si>
  <si>
    <t>RSグローバルトレード</t>
  </si>
  <si>
    <t>RS GLOBAL TRADE RSグローバルトレード</t>
  </si>
  <si>
    <t>brands.index.82.filtering</t>
  </si>
  <si>
    <t>brands.index.83.filtering</t>
  </si>
  <si>
    <t>brands.index.84.filtering</t>
  </si>
  <si>
    <t>brands.index.85.filtering</t>
  </si>
  <si>
    <t>brands.index.86.filtering</t>
  </si>
  <si>
    <t>SIAN BEBE サイアンベベ</t>
  </si>
  <si>
    <t>brands.index.87.filtering</t>
  </si>
  <si>
    <t>brands.index.88.filtering</t>
  </si>
  <si>
    <t>brands.index.89.filtering</t>
  </si>
  <si>
    <t>brands.index.90.filtering</t>
  </si>
  <si>
    <t>brands.index.91.filtering</t>
  </si>
  <si>
    <t>brands.index.92.filtering</t>
  </si>
  <si>
    <t>brands.index.93.filtering</t>
  </si>
  <si>
    <t>brands.index.94.filtering</t>
  </si>
  <si>
    <t>タウ</t>
  </si>
  <si>
    <t>ドイツのTAU社で丁寧につくられた、本革製（ヌメ革）のキーホルダー。質のよいナチュラルなヌメ革で、使い込むほどにレザーの味わいをお楽しみいただけます。</t>
  </si>
  <si>
    <t>TAU タウ</t>
  </si>
  <si>
    <t>brands.index.95.filtering</t>
  </si>
  <si>
    <t>brands.index.96.filtering</t>
  </si>
  <si>
    <t>brands.index.97.filtering</t>
  </si>
  <si>
    <t>brands.index.98.filtering</t>
  </si>
  <si>
    <t>創業180年のアメリカ・ペンシルバニア州のアウトドアブランド、WOOLRICH。原料の調達から製品までの一貫した生産を行える、信頼ある会社としてアメリカで名を広めました。</t>
  </si>
  <si>
    <t>アポリーヌ</t>
  </si>
  <si>
    <t>パリで人気のアーティスト、アポリーヌ・マルカ。彼女が作り出す作品はすべて手作りで、１つ１つ個性的でファンタジックな世界観溢れるものばかりです。</t>
  </si>
  <si>
    <t>APOLLINE アポリーヌ</t>
  </si>
  <si>
    <t>baby kids</t>
  </si>
  <si>
    <t>kids</t>
  </si>
  <si>
    <t>woman</t>
  </si>
  <si>
    <t>goods toy</t>
  </si>
  <si>
    <t>goods</t>
  </si>
  <si>
    <t>kids woman</t>
  </si>
  <si>
    <t>baby kids woman</t>
  </si>
  <si>
    <t>baby</t>
  </si>
  <si>
    <t>toy</t>
  </si>
  <si>
    <t>woman goods</t>
  </si>
  <si>
    <t>baby woman</t>
  </si>
  <si>
    <t>images/directory structure</t>
    <phoneticPr fontId="18"/>
  </si>
  <si>
    <t>alphabetical-order</t>
    <phoneticPr fontId="18"/>
  </si>
  <si>
    <t>icon</t>
    <phoneticPr fontId="18"/>
  </si>
  <si>
    <t>name</t>
    <phoneticPr fontId="18"/>
  </si>
  <si>
    <t>name</t>
    <phoneticPr fontId="18"/>
  </si>
  <si>
    <t>6M（6ヶ月）</t>
    <phoneticPr fontId="18"/>
  </si>
  <si>
    <t>12M（12ヶ月）</t>
    <phoneticPr fontId="18"/>
  </si>
  <si>
    <t>18M（18ヶ月）</t>
    <phoneticPr fontId="18"/>
  </si>
  <si>
    <t>24M（24ヶ月）</t>
    <phoneticPr fontId="18"/>
  </si>
  <si>
    <t>current</t>
    <phoneticPr fontId="18"/>
  </si>
  <si>
    <t>キッチン＆テーブル</t>
  </si>
  <si>
    <t>ホームリネン＆グッズ</t>
  </si>
  <si>
    <t>バス＆ウォッシュ</t>
  </si>
  <si>
    <t>スモールストレージ</t>
  </si>
  <si>
    <t>フラワーベース</t>
  </si>
  <si>
    <t>フレーム</t>
  </si>
  <si>
    <t>ランプ</t>
  </si>
  <si>
    <t>クッション・ピロー</t>
  </si>
  <si>
    <t>アロマ・フレグランス</t>
  </si>
  <si>
    <t>クラフト</t>
  </si>
  <si>
    <t>モビール</t>
  </si>
  <si>
    <t>ガーランド＆デコレーション</t>
  </si>
  <si>
    <t>キッズパーティ</t>
  </si>
  <si>
    <t>アート&amp;ディスプレイ</t>
  </si>
  <si>
    <t>出産祝い</t>
  </si>
  <si>
    <t>出産祝い</t>
    <phoneticPr fontId="18"/>
  </si>
  <si>
    <t>お子様の誕生日</t>
  </si>
  <si>
    <t>お子様の誕生日</t>
    <phoneticPr fontId="18"/>
  </si>
  <si>
    <t>女性への贈り物</t>
  </si>
  <si>
    <t>女性への贈り物</t>
    <phoneticPr fontId="18"/>
  </si>
  <si>
    <t>女性</t>
    <rPh sb="0" eb="2">
      <t>ジョセイ</t>
    </rPh>
    <phoneticPr fontId="1"/>
  </si>
  <si>
    <t>NEW ARRIVALS</t>
  </si>
  <si>
    <t>NEW ARRIVALS</t>
    <phoneticPr fontId="18"/>
  </si>
  <si>
    <t>baby.hero.0.kana</t>
  </si>
  <si>
    <t>18SS</t>
  </si>
  <si>
    <t>/fs/lilietnene/c/item-b-swimwear</t>
  </si>
  <si>
    <t>item-b-swimwear</t>
  </si>
  <si>
    <t>kids.hero.0.brand</t>
  </si>
  <si>
    <t>kids.hero.0.kana</t>
  </si>
  <si>
    <t>kids.hero.0.title</t>
  </si>
  <si>
    <t>kids.hero.0.update</t>
  </si>
  <si>
    <t>woman.hero.0.brand</t>
  </si>
  <si>
    <t>woman.hero.0.kana</t>
  </si>
  <si>
    <t>woman.hero.0.title</t>
  </si>
  <si>
    <t>woman.hero.0.update</t>
  </si>
  <si>
    <t>woman.brand.0.current</t>
  </si>
  <si>
    <t>woman.brand.0.priority</t>
  </si>
  <si>
    <t>woman.brand.1.current</t>
  </si>
  <si>
    <t>woman.brand.1.priority</t>
  </si>
  <si>
    <t>woman.brand.2.current</t>
  </si>
  <si>
    <t>woman.brand.2.priority</t>
  </si>
  <si>
    <t>woman.brand.3.current</t>
  </si>
  <si>
    <t>woman.brand.3.priority</t>
  </si>
  <si>
    <t>woman.brand.4.current</t>
  </si>
  <si>
    <t>woman.brand.4.priority</t>
  </si>
  <si>
    <t>woman.brand.5.current</t>
  </si>
  <si>
    <t>woman.brand.5.priority</t>
  </si>
  <si>
    <t>woman.brand.6.current</t>
  </si>
  <si>
    <t>woman.brand.6.priority</t>
  </si>
  <si>
    <t>woman.brand.7.current</t>
  </si>
  <si>
    <t>woman.brand.7.priority</t>
  </si>
  <si>
    <t>woman.brand.8.current</t>
  </si>
  <si>
    <t>woman.brand.8.priority</t>
  </si>
  <si>
    <t>woman.brand.9.current</t>
  </si>
  <si>
    <t>woman.brand.9.priority</t>
  </si>
  <si>
    <t>woman.brand.10.current</t>
  </si>
  <si>
    <t>woman.brand.10.priority</t>
  </si>
  <si>
    <t>woman.brand.11.current</t>
  </si>
  <si>
    <t>woman.brand.11.priority</t>
  </si>
  <si>
    <t>woman.brand.12.current</t>
  </si>
  <si>
    <t>woman.brand.12.priority</t>
  </si>
  <si>
    <t>woman.brand.13.current</t>
  </si>
  <si>
    <t>woman.brand.13.priority</t>
  </si>
  <si>
    <t>woman.brand.14.current</t>
  </si>
  <si>
    <t>woman.brand.14.priority</t>
  </si>
  <si>
    <t>woman.brand.15.current</t>
  </si>
  <si>
    <t>woman.brand.15.priority</t>
  </si>
  <si>
    <t>woman.brand.16.current</t>
  </si>
  <si>
    <t>woman.brand.16.priority</t>
  </si>
  <si>
    <t>woman.brand.17.current</t>
  </si>
  <si>
    <t>woman.brand.17.priority</t>
  </si>
  <si>
    <t>woman.brand.18.current</t>
  </si>
  <si>
    <t>woman.brand.18.priority</t>
  </si>
  <si>
    <t>woman.brand.19.current</t>
  </si>
  <si>
    <t>woman.brand.19.priority</t>
  </si>
  <si>
    <t>woman.brand.20.current</t>
  </si>
  <si>
    <t>woman.brand.20.priority</t>
  </si>
  <si>
    <t>woman.brand.21.current</t>
  </si>
  <si>
    <t>woman.brand.21.priority</t>
  </si>
  <si>
    <t>woman.brand.22.current</t>
  </si>
  <si>
    <t>woman.brand.22.priority</t>
  </si>
  <si>
    <t>woman.brand.23.current</t>
  </si>
  <si>
    <t>woman.brand.23.priority</t>
  </si>
  <si>
    <t>woman.brand.24.current</t>
  </si>
  <si>
    <t>woman.brand.24.priority</t>
  </si>
  <si>
    <t>woman.brand.25.current</t>
  </si>
  <si>
    <t>woman.brand.25.priority</t>
  </si>
  <si>
    <t>woman.brand.26.current</t>
  </si>
  <si>
    <t>woman.brand.26.priority</t>
  </si>
  <si>
    <t>woman.brand.27.current</t>
  </si>
  <si>
    <t>woman.brand.27.priority</t>
  </si>
  <si>
    <t>woman.brand.28.current</t>
  </si>
  <si>
    <t>woman.brand.28.priority</t>
  </si>
  <si>
    <t>woman.brand.29.current</t>
  </si>
  <si>
    <t>woman.brand.29.priority</t>
  </si>
  <si>
    <t>woman.brand.30.current</t>
  </si>
  <si>
    <t>woman.brand.30.priority</t>
  </si>
  <si>
    <t>woman.brand.31.current</t>
  </si>
  <si>
    <t>woman.brand.31.priority</t>
  </si>
  <si>
    <t>nav.baby-items.0.name</t>
  </si>
  <si>
    <t>nav.baby-items.0.url</t>
  </si>
  <si>
    <t>nav.baby-items.1.name</t>
  </si>
  <si>
    <t>nav.baby-items.1.url</t>
  </si>
  <si>
    <t>nav.baby-items.2.name</t>
  </si>
  <si>
    <t>nav.baby-items.2.url</t>
  </si>
  <si>
    <t>nav.baby-items.3.name</t>
  </si>
  <si>
    <t>nav.baby-items.3.url</t>
  </si>
  <si>
    <t>nav.baby-items.4.name</t>
  </si>
  <si>
    <t>nav.baby-items.4.url</t>
  </si>
  <si>
    <t>nav.baby-items.5.name</t>
  </si>
  <si>
    <t>nav.baby-items.5.url</t>
  </si>
  <si>
    <t>nav.baby-items.6.name</t>
  </si>
  <si>
    <t>nav.baby-items.6.url</t>
  </si>
  <si>
    <t>nav.baby-items.7.name</t>
  </si>
  <si>
    <t>nav.baby-items.7.url</t>
  </si>
  <si>
    <t>nav.baby-items.8.name</t>
  </si>
  <si>
    <t>nav.baby-items.8.url</t>
  </si>
  <si>
    <t>nav.baby-items.9.name</t>
  </si>
  <si>
    <t>nav.baby-items.9.url</t>
  </si>
  <si>
    <t>nav.baby-items.10.name</t>
  </si>
  <si>
    <t>nav.baby-items.10.url</t>
  </si>
  <si>
    <t>nav.baby-items.11.name</t>
  </si>
  <si>
    <t>nav.baby-items.11.url</t>
  </si>
  <si>
    <t>nav.baby-size.0.size</t>
  </si>
  <si>
    <t>6M（6ヶ月）</t>
  </si>
  <si>
    <t>nav.baby-size.0.url</t>
  </si>
  <si>
    <t>nav.baby-size.1.size</t>
  </si>
  <si>
    <t>12M（12ヶ月）</t>
  </si>
  <si>
    <t>nav.baby-size.1.url</t>
  </si>
  <si>
    <t>nav.baby-size.2.size</t>
  </si>
  <si>
    <t>18M（18ヶ月）</t>
  </si>
  <si>
    <t>nav.baby-size.2.url</t>
  </si>
  <si>
    <t>nav.baby-size.3.size</t>
  </si>
  <si>
    <t>24M（24ヶ月）</t>
  </si>
  <si>
    <t>nav.baby-size.3.url</t>
  </si>
  <si>
    <t>nav.baby-brand.0.name</t>
  </si>
  <si>
    <t>nav.baby-brand.0.kana</t>
  </si>
  <si>
    <t>nav.baby-brand.0.url</t>
  </si>
  <si>
    <t>nav.baby-brand.0.priority</t>
  </si>
  <si>
    <t>nav.baby-brand.0.current</t>
  </si>
  <si>
    <t>nav.baby-brand.1.name</t>
  </si>
  <si>
    <t>nav.baby-brand.1.kana</t>
  </si>
  <si>
    <t>nav.baby-brand.1.url</t>
  </si>
  <si>
    <t>nav.baby-brand.1.priority</t>
  </si>
  <si>
    <t>nav.baby-brand.1.current</t>
  </si>
  <si>
    <t>nav.baby-brand.2.name</t>
  </si>
  <si>
    <t>nav.baby-brand.2.kana</t>
  </si>
  <si>
    <t>nav.baby-brand.2.url</t>
  </si>
  <si>
    <t>nav.baby-brand.2.priority</t>
  </si>
  <si>
    <t>nav.baby-brand.2.current</t>
  </si>
  <si>
    <t>nav.baby-brand.3.name</t>
  </si>
  <si>
    <t>nav.baby-brand.3.kana</t>
  </si>
  <si>
    <t>nav.baby-brand.3.url</t>
  </si>
  <si>
    <t>nav.baby-brand.3.priority</t>
  </si>
  <si>
    <t>nav.baby-brand.3.current</t>
  </si>
  <si>
    <t>nav.baby-brand.4.name</t>
  </si>
  <si>
    <t>nav.baby-brand.4.kana</t>
  </si>
  <si>
    <t>nav.baby-brand.4.url</t>
  </si>
  <si>
    <t>nav.baby-brand.4.priority</t>
  </si>
  <si>
    <t>nav.baby-brand.4.current</t>
  </si>
  <si>
    <t>nav.baby-brand.5.name</t>
  </si>
  <si>
    <t>nav.baby-brand.5.kana</t>
  </si>
  <si>
    <t>nav.baby-brand.5.url</t>
  </si>
  <si>
    <t>nav.baby-brand.5.priority</t>
  </si>
  <si>
    <t>nav.baby-brand.5.current</t>
  </si>
  <si>
    <t>nav.baby-brand.6.name</t>
  </si>
  <si>
    <t>nav.baby-brand.6.kana</t>
  </si>
  <si>
    <t>nav.baby-brand.6.url</t>
  </si>
  <si>
    <t>nav.baby-brand.6.priority</t>
  </si>
  <si>
    <t>nav.baby-brand.6.current</t>
  </si>
  <si>
    <t>nav.baby-brand.7.name</t>
  </si>
  <si>
    <t>nav.baby-brand.7.kana</t>
  </si>
  <si>
    <t>nav.baby-brand.7.url</t>
  </si>
  <si>
    <t>nav.baby-brand.7.priority</t>
  </si>
  <si>
    <t>nav.baby-brand.7.current</t>
  </si>
  <si>
    <t>nav.baby-brand.8.name</t>
  </si>
  <si>
    <t>nav.baby-brand.8.kana</t>
  </si>
  <si>
    <t>nav.baby-brand.8.url</t>
  </si>
  <si>
    <t>nav.baby-brand.8.priority</t>
  </si>
  <si>
    <t>nav.baby-brand.8.current</t>
  </si>
  <si>
    <t>nav.baby-brand.9.name</t>
  </si>
  <si>
    <t>nav.baby-brand.9.kana</t>
  </si>
  <si>
    <t>nav.baby-brand.9.url</t>
  </si>
  <si>
    <t>nav.baby-brand.9.priority</t>
  </si>
  <si>
    <t>nav.baby-brand.9.current</t>
  </si>
  <si>
    <t>nav.kids-items.0.name</t>
  </si>
  <si>
    <t>nav.kids-items.0.url</t>
  </si>
  <si>
    <t>nav.kids-items.1.name</t>
  </si>
  <si>
    <t>nav.kids-items.1.url</t>
  </si>
  <si>
    <t>nav.kids-items.2.name</t>
  </si>
  <si>
    <t>nav.kids-items.2.url</t>
  </si>
  <si>
    <t>nav.kids-items.3.name</t>
  </si>
  <si>
    <t>nav.kids-items.3.url</t>
  </si>
  <si>
    <t>nav.kids-items.4.name</t>
  </si>
  <si>
    <t>nav.kids-items.4.url</t>
  </si>
  <si>
    <t>nav.kids-items.5.name</t>
  </si>
  <si>
    <t>nav.kids-items.5.url</t>
  </si>
  <si>
    <t>nav.kids-items.6.name</t>
  </si>
  <si>
    <t>nav.kids-items.6.url</t>
  </si>
  <si>
    <t>nav.kids-items.7.name</t>
  </si>
  <si>
    <t>nav.kids-items.7.url</t>
  </si>
  <si>
    <t>nav.kids-items.8.name</t>
  </si>
  <si>
    <t>nav.kids-items.8.url</t>
  </si>
  <si>
    <t>nav.kids-items.9.name</t>
  </si>
  <si>
    <t>nav.kids-items.9.url</t>
  </si>
  <si>
    <t>nav.kids-items.10.name</t>
  </si>
  <si>
    <t>nav.kids-items.10.url</t>
  </si>
  <si>
    <t>nav.kids-items.11.name</t>
  </si>
  <si>
    <t>nav.kids-items.11.url</t>
  </si>
  <si>
    <t>nav.kids-size.0.size</t>
  </si>
  <si>
    <t>nav.kids-size.0.url</t>
  </si>
  <si>
    <t>nav.kids-size.1.size</t>
  </si>
  <si>
    <t>nav.kids-size.1.url</t>
  </si>
  <si>
    <t>nav.kids-size.2.size</t>
  </si>
  <si>
    <t>nav.kids-size.2.url</t>
  </si>
  <si>
    <t>nav.kids-size.3.size</t>
  </si>
  <si>
    <t>nav.kids-size.3.url</t>
  </si>
  <si>
    <t>nav.kids-size.4.size</t>
  </si>
  <si>
    <t>nav.kids-size.4.url</t>
  </si>
  <si>
    <t>nav.kids-size.5.size</t>
  </si>
  <si>
    <t>nav.kids-size.5.url</t>
  </si>
  <si>
    <t>nav.kids-size.6.size</t>
  </si>
  <si>
    <t>nav.kids-size.6.url</t>
  </si>
  <si>
    <t>nav.kids-brand.0.name</t>
  </si>
  <si>
    <t>nav.kids-brand.0.kana</t>
  </si>
  <si>
    <t>nav.kids-brand.0.url</t>
  </si>
  <si>
    <t>nav.kids-brand.0.current</t>
  </si>
  <si>
    <t>nav.kids-brand.0.priority</t>
  </si>
  <si>
    <t>nav.kids-brand.1.name</t>
  </si>
  <si>
    <t>nav.kids-brand.1.kana</t>
  </si>
  <si>
    <t>nav.kids-brand.1.url</t>
  </si>
  <si>
    <t>nav.kids-brand.1.current</t>
  </si>
  <si>
    <t>nav.kids-brand.1.priority</t>
  </si>
  <si>
    <t>nav.kids-brand.2.name</t>
  </si>
  <si>
    <t>nav.kids-brand.2.kana</t>
  </si>
  <si>
    <t>nav.kids-brand.2.url</t>
  </si>
  <si>
    <t>nav.kids-brand.2.current</t>
  </si>
  <si>
    <t>nav.kids-brand.2.priority</t>
  </si>
  <si>
    <t>nav.kids-brand.3.name</t>
  </si>
  <si>
    <t>nav.kids-brand.3.kana</t>
  </si>
  <si>
    <t>nav.kids-brand.3.url</t>
  </si>
  <si>
    <t>nav.kids-brand.3.current</t>
  </si>
  <si>
    <t>nav.kids-brand.3.priority</t>
  </si>
  <si>
    <t>nav.kids-brand.4.name</t>
  </si>
  <si>
    <t>nav.kids-brand.4.kana</t>
  </si>
  <si>
    <t>nav.kids-brand.4.url</t>
  </si>
  <si>
    <t>nav.kids-brand.4.current</t>
  </si>
  <si>
    <t>nav.kids-brand.4.priority</t>
  </si>
  <si>
    <t>nav.kids-brand.5.name</t>
  </si>
  <si>
    <t>nav.kids-brand.5.kana</t>
  </si>
  <si>
    <t>nav.kids-brand.5.url</t>
  </si>
  <si>
    <t>nav.kids-brand.5.current</t>
  </si>
  <si>
    <t>nav.kids-brand.5.priority</t>
  </si>
  <si>
    <t>nav.kids-brand.6.name</t>
  </si>
  <si>
    <t>nav.kids-brand.6.kana</t>
  </si>
  <si>
    <t>nav.kids-brand.6.url</t>
  </si>
  <si>
    <t>nav.kids-brand.6.current</t>
  </si>
  <si>
    <t>nav.kids-brand.6.priority</t>
  </si>
  <si>
    <t>nav.kids-brand.7.name</t>
  </si>
  <si>
    <t>nav.kids-brand.7.kana</t>
  </si>
  <si>
    <t>nav.kids-brand.7.url</t>
  </si>
  <si>
    <t>nav.kids-brand.7.current</t>
  </si>
  <si>
    <t>nav.kids-brand.7.priority</t>
  </si>
  <si>
    <t>nav.kids-brand.8.name</t>
  </si>
  <si>
    <t>nav.kids-brand.8.kana</t>
  </si>
  <si>
    <t>nav.kids-brand.8.url</t>
  </si>
  <si>
    <t>nav.kids-brand.8.current</t>
  </si>
  <si>
    <t>nav.kids-brand.8.priority</t>
  </si>
  <si>
    <t>nav.kids-brand.9.name</t>
  </si>
  <si>
    <t>nav.kids-brand.9.kana</t>
  </si>
  <si>
    <t>nav.kids-brand.9.url</t>
  </si>
  <si>
    <t>nav.kids-brand.9.current</t>
  </si>
  <si>
    <t>nav.kids-brand.9.priority</t>
  </si>
  <si>
    <t>nav.woman-items.0.name</t>
  </si>
  <si>
    <t>nav.woman-items.0.url</t>
  </si>
  <si>
    <t>nav.woman-items.1.name</t>
  </si>
  <si>
    <t>nav.woman-items.1.url</t>
  </si>
  <si>
    <t>nav.woman-items.2.name</t>
  </si>
  <si>
    <t>nav.woman-items.2.url</t>
  </si>
  <si>
    <t>nav.woman-items.3.name</t>
  </si>
  <si>
    <t>nav.woman-items.3.url</t>
  </si>
  <si>
    <t>nav.woman-items.4.name</t>
  </si>
  <si>
    <t>nav.woman-items.4.url</t>
  </si>
  <si>
    <t>nav.woman-items.5.name</t>
  </si>
  <si>
    <t>nav.woman-items.5.url</t>
  </si>
  <si>
    <t>ヘレンカミンスキーは1983年オーストラリアでスタートしたブランド。ラフィアハットを中心に、天然素材と伝統的な手作りの製法、モダンなデザインと機能性にこだわったアイテムを展開。</t>
  </si>
  <si>
    <t>/fs/lilietnene/c/item-craft</t>
  </si>
  <si>
    <t>nav.goods-brands.0.name</t>
  </si>
  <si>
    <t>nav.goods-brands.0.kana</t>
  </si>
  <si>
    <t>nav.goods-brands.0.url</t>
  </si>
  <si>
    <t>nav.goods-brands.0.priority</t>
  </si>
  <si>
    <t>nav.goods-brands.1.name</t>
  </si>
  <si>
    <t>nav.goods-brands.1.kana</t>
  </si>
  <si>
    <t>nav.goods-brands.1.url</t>
  </si>
  <si>
    <t>nav.goods-brands.1.priority</t>
  </si>
  <si>
    <t>nav.goods-brands.2.name</t>
  </si>
  <si>
    <t>nav.goods-brands.2.kana</t>
  </si>
  <si>
    <t>nav.goods-brands.2.url</t>
  </si>
  <si>
    <t>nav.goods-brands.2.priority</t>
  </si>
  <si>
    <t>nav.goods-brands.3.name</t>
  </si>
  <si>
    <t>nav.goods-brands.3.kana</t>
  </si>
  <si>
    <t>nav.goods-brands.3.url</t>
  </si>
  <si>
    <t>nav.goods-brands.3.priority</t>
  </si>
  <si>
    <t>nav.goods-brands.4.name</t>
  </si>
  <si>
    <t>nav.goods-brands.4.kana</t>
  </si>
  <si>
    <t>nav.goods-brands.4.url</t>
  </si>
  <si>
    <t>nav.goods-brands.4.priority</t>
  </si>
  <si>
    <t>nav.goods-brands.5.name</t>
  </si>
  <si>
    <t>nav.goods-brands.5.kana</t>
  </si>
  <si>
    <t>nav.goods-brands.5.url</t>
  </si>
  <si>
    <t>nav.goods-brands.5.priority</t>
  </si>
  <si>
    <t>nav.goods-brands.6.name</t>
  </si>
  <si>
    <t>nav.goods-brands.6.kana</t>
  </si>
  <si>
    <t>nav.goods-brands.6.url</t>
  </si>
  <si>
    <t>nav.goods-brands.6.priority</t>
  </si>
  <si>
    <t>nav.goods-brands.7.name</t>
  </si>
  <si>
    <t>nav.goods-brands.7.kana</t>
  </si>
  <si>
    <t>nav.goods-brands.7.url</t>
  </si>
  <si>
    <t>nav.goods-brands.7.priority</t>
  </si>
  <si>
    <t>nav.goods-brands.8.name</t>
  </si>
  <si>
    <t>nav.goods-brands.8.kana</t>
  </si>
  <si>
    <t>nav.goods-brands.8.url</t>
  </si>
  <si>
    <t>nav.goods-brands.8.priority</t>
  </si>
  <si>
    <t>nav.gifts-personality.0.name</t>
  </si>
  <si>
    <t>nav.gifts-personality.0.url</t>
  </si>
  <si>
    <t>nav.gifts-personality.1.name</t>
  </si>
  <si>
    <t>nav.gifts-personality.1.url</t>
  </si>
  <si>
    <t>nav.gifts-personality.2.name</t>
  </si>
  <si>
    <t>nav.gifts-personality.2.url</t>
  </si>
  <si>
    <t>nav.gifts-set.0.name</t>
  </si>
  <si>
    <t>nav.gifts-set.0.url</t>
  </si>
  <si>
    <t>nav.gifts-set.1.name</t>
  </si>
  <si>
    <t>女性</t>
  </si>
  <si>
    <t>nav.gifts-set.1.url</t>
  </si>
  <si>
    <t>nav.gifts-budget.0.name</t>
  </si>
  <si>
    <t>nav.gifts-budget.0.url</t>
  </si>
  <si>
    <t>nav.gifts-budget.1.name</t>
  </si>
  <si>
    <t>nav.gifts-budget.1.url</t>
  </si>
  <si>
    <t>nav.gifts-budget.2.name</t>
  </si>
  <si>
    <t>nav.gifts-budget.2.url</t>
  </si>
  <si>
    <t>nav.gifts-budget.3.name</t>
  </si>
  <si>
    <t>nav.gifts-budget.3.url</t>
  </si>
  <si>
    <t>nav.gifts-budget.4.name</t>
  </si>
  <si>
    <t>nav.gifts-budget.4.url</t>
  </si>
  <si>
    <t>nav.gifts-budget.5.name</t>
  </si>
  <si>
    <t>nav.gifts-budget.5.url</t>
  </si>
  <si>
    <t>nav.gifts-budget.6.name</t>
  </si>
  <si>
    <t>nav.gifts-budget.6.url</t>
  </si>
  <si>
    <t>brands.index.0.alphabetical-order</t>
  </si>
  <si>
    <t>brands.index.1.alphabetical-order</t>
  </si>
  <si>
    <t>brands.index.2.alphabetical-order</t>
  </si>
  <si>
    <t>brands.index.3.alphabetical-order</t>
  </si>
  <si>
    <t>brands.index.4.alphabetical-order</t>
  </si>
  <si>
    <t>brands.index.5.alphabetical-order</t>
  </si>
  <si>
    <t>brands.index.6.alphabetical-order</t>
  </si>
  <si>
    <t>brands.index.7.alphabetical-order</t>
  </si>
  <si>
    <t>brands.index.8.alphabetical-order</t>
  </si>
  <si>
    <t>brands.index.9.alphabetical-order</t>
  </si>
  <si>
    <t>brands.index.10.alphabetical-order</t>
  </si>
  <si>
    <t>brands.index.11.alphabetical-order</t>
  </si>
  <si>
    <t>brands.index.12.alphabetical-order</t>
  </si>
  <si>
    <t>brands.index.13.alphabetical-order</t>
  </si>
  <si>
    <t>brands.index.14.alphabetical-order</t>
  </si>
  <si>
    <t>brands.index.15.alphabetical-order</t>
  </si>
  <si>
    <t>brands.index.16.alphabetical-order</t>
  </si>
  <si>
    <t>brands.index.17.alphabetical-order</t>
  </si>
  <si>
    <t>brands.index.18.alphabetical-order</t>
  </si>
  <si>
    <t>brands.index.19.alphabetical-order</t>
  </si>
  <si>
    <t>brands.index.20.alphabetical-order</t>
  </si>
  <si>
    <t>brands.index.21.alphabetical-order</t>
  </si>
  <si>
    <t>brands.index.22.alphabetical-order</t>
  </si>
  <si>
    <t>brands.index.23.alphabetical-order</t>
  </si>
  <si>
    <t>brands.index.24.alphabetical-order</t>
  </si>
  <si>
    <t>brands.index.25.alphabetical-order</t>
  </si>
  <si>
    <t>brands.index.26.alphabetical-order</t>
  </si>
  <si>
    <t>brands.index.27.alphabetical-order</t>
  </si>
  <si>
    <t>brands.index.28.alphabetical-order</t>
  </si>
  <si>
    <t>brands.index.29.alphabetical-order</t>
  </si>
  <si>
    <t>brands.index.30.alphabetical-order</t>
  </si>
  <si>
    <t>brands.index.31.alphabetical-order</t>
  </si>
  <si>
    <t>brands.index.32.alphabetical-order</t>
  </si>
  <si>
    <t>brands.index.33.alphabetical-order</t>
  </si>
  <si>
    <t>brands.index.34.alphabetical-order</t>
  </si>
  <si>
    <t>brands.index.35.alphabetical-order</t>
  </si>
  <si>
    <t>brands.index.36.alphabetical-order</t>
  </si>
  <si>
    <t>brands.index.37.alphabetical-order</t>
  </si>
  <si>
    <t>brands.index.38.alphabetical-order</t>
  </si>
  <si>
    <t>brands.index.39.alphabetical-order</t>
  </si>
  <si>
    <t>brands.index.40.alphabetical-order</t>
  </si>
  <si>
    <t>brands.index.41.alphabetical-order</t>
  </si>
  <si>
    <t>brands.index.42.alphabetical-order</t>
  </si>
  <si>
    <t>brands.index.43.alphabetical-order</t>
  </si>
  <si>
    <t>brands.index.44.alphabetical-order</t>
  </si>
  <si>
    <t>brands.index.45.alphabetical-order</t>
  </si>
  <si>
    <t>brands.index.46.alphabetical-order</t>
  </si>
  <si>
    <t>brands.index.47.alphabetical-order</t>
  </si>
  <si>
    <t>brands.index.48.alphabetical-order</t>
  </si>
  <si>
    <t>brands.index.49.alphabetical-order</t>
  </si>
  <si>
    <t>brands.index.50.alphabetical-order</t>
  </si>
  <si>
    <t>brands.index.51.alphabetical-order</t>
  </si>
  <si>
    <t>brands.index.52.alphabetical-order</t>
  </si>
  <si>
    <t>brands.index.53.alphabetical-order</t>
  </si>
  <si>
    <t>brands.index.54.alphabetical-order</t>
  </si>
  <si>
    <t>brands.index.55.alphabetical-order</t>
  </si>
  <si>
    <t>brands.index.56.alphabetical-order</t>
  </si>
  <si>
    <t>brands.index.57.alphabetical-order</t>
  </si>
  <si>
    <t>brands.index.58.alphabetical-order</t>
  </si>
  <si>
    <t>brands.index.59.alphabetical-order</t>
  </si>
  <si>
    <t>brands.index.60.alphabetical-order</t>
  </si>
  <si>
    <t>brands.index.61.alphabetical-order</t>
  </si>
  <si>
    <t>brands.index.62.alphabetical-order</t>
  </si>
  <si>
    <t>brands.index.63.alphabetical-order</t>
  </si>
  <si>
    <t>brands.index.64.alphabetical-order</t>
  </si>
  <si>
    <t>brands.index.65.alphabetical-order</t>
  </si>
  <si>
    <t>brands.index.66.alphabetical-order</t>
  </si>
  <si>
    <t>brands.index.67.alphabetical-order</t>
  </si>
  <si>
    <t>brands.index.68.alphabetical-order</t>
  </si>
  <si>
    <t>brands.index.69.alphabetical-order</t>
  </si>
  <si>
    <t>brands.index.70.alphabetical-order</t>
  </si>
  <si>
    <t>brands.index.71.alphabetical-order</t>
  </si>
  <si>
    <t>brands.index.72.alphabetical-order</t>
  </si>
  <si>
    <t>brands.index.73.alphabetical-order</t>
  </si>
  <si>
    <t>brands.index.74.alphabetical-order</t>
  </si>
  <si>
    <t>brands.index.75.alphabetical-order</t>
  </si>
  <si>
    <t>brands.index.76.alphabetical-order</t>
  </si>
  <si>
    <t>brands.index.77.alphabetical-order</t>
  </si>
  <si>
    <t>brands.index.78.alphabetical-order</t>
  </si>
  <si>
    <t>brands.index.79.alphabetical-order</t>
  </si>
  <si>
    <t>brands.index.80.alphabetical-order</t>
  </si>
  <si>
    <t>brands.index.81.alphabetical-order</t>
  </si>
  <si>
    <t>brands.index.82.alphabetical-order</t>
  </si>
  <si>
    <t>brands.index.83.alphabetical-order</t>
  </si>
  <si>
    <t>brands.index.84.alphabetical-order</t>
  </si>
  <si>
    <t>brands.index.85.alphabetical-order</t>
  </si>
  <si>
    <t>brands.index.86.alphabetical-order</t>
  </si>
  <si>
    <t>brands.index.87.alphabetical-order</t>
  </si>
  <si>
    <t>brands.index.88.alphabetical-order</t>
  </si>
  <si>
    <t>brands.index.89.alphabetical-order</t>
  </si>
  <si>
    <t>brands.index.90.alphabetical-order</t>
  </si>
  <si>
    <t>brands.index.91.alphabetical-order</t>
  </si>
  <si>
    <t>brands.index.92.alphabetical-order</t>
  </si>
  <si>
    <t>brands.index.93.alphabetical-order</t>
  </si>
  <si>
    <t>brands.index.94.alphabetical-order</t>
  </si>
  <si>
    <t>brands.index.95.alphabetical-order</t>
  </si>
  <si>
    <t>brands.index.96.alphabetical-order</t>
  </si>
  <si>
    <t>brands.index.97.alphabetical-order</t>
  </si>
  <si>
    <t>brands.index.98.alphabetical-order</t>
  </si>
  <si>
    <t>インナー・パジャマ</t>
    <phoneticPr fontId="18"/>
  </si>
  <si>
    <t>title</t>
    <phoneticPr fontId="18"/>
  </si>
  <si>
    <t>class</t>
    <phoneticPr fontId="18"/>
  </si>
  <si>
    <t>comingsoon</t>
  </si>
  <si>
    <t>comingsoon</t>
    <phoneticPr fontId="18"/>
  </si>
  <si>
    <t>newarrivals</t>
  </si>
  <si>
    <t>baby.hero.0.class</t>
  </si>
  <si>
    <t>kids.hero.0.class</t>
  </si>
  <si>
    <t>woman.hero.0.class</t>
  </si>
  <si>
    <t>class</t>
    <phoneticPr fontId="18"/>
  </si>
  <si>
    <t>/fs/lilietnene/c/helenkaminski18ss</t>
  </si>
  <si>
    <t>/fs/lilietnene/c/caramel18ss</t>
  </si>
  <si>
    <t>name</t>
    <phoneticPr fontId="18"/>
  </si>
  <si>
    <t>nav.woman-brand1.0.name</t>
  </si>
  <si>
    <t>nav.woman-brand1.0.kana</t>
  </si>
  <si>
    <t>nav.woman-brand1.0.url</t>
  </si>
  <si>
    <t>nav.woman-brand1.0.current</t>
  </si>
  <si>
    <t>nav.woman-brand1.0.priority</t>
  </si>
  <si>
    <t>nav.woman-brand1.1.name</t>
  </si>
  <si>
    <t>nav.woman-brand1.1.kana</t>
  </si>
  <si>
    <t>nav.woman-brand1.1.url</t>
  </si>
  <si>
    <t>nav.woman-brand1.1.current</t>
  </si>
  <si>
    <t>nav.woman-brand1.1.priority</t>
  </si>
  <si>
    <t>nav.woman-brand1.2.name</t>
  </si>
  <si>
    <t>nav.woman-brand1.2.kana</t>
  </si>
  <si>
    <t>nav.woman-brand1.2.url</t>
  </si>
  <si>
    <t>nav.woman-brand1.2.current</t>
  </si>
  <si>
    <t>nav.woman-brand1.2.priority</t>
  </si>
  <si>
    <t>nav.woman-brand1.3.name</t>
  </si>
  <si>
    <t>nav.woman-brand1.3.kana</t>
  </si>
  <si>
    <t>nav.woman-brand1.3.url</t>
  </si>
  <si>
    <t>nav.woman-brand1.3.current</t>
  </si>
  <si>
    <t>nav.woman-brand1.3.priority</t>
  </si>
  <si>
    <t>nav.woman-brand1.4.name</t>
  </si>
  <si>
    <t>nav.woman-brand1.4.kana</t>
  </si>
  <si>
    <t>nav.woman-brand1.4.url</t>
  </si>
  <si>
    <t>nav.woman-brand1.4.current</t>
  </si>
  <si>
    <t>nav.woman-brand1.4.priority</t>
  </si>
  <si>
    <t>nav.woman-brand2.0.name</t>
  </si>
  <si>
    <t>nav.woman-brand2.0.kana</t>
  </si>
  <si>
    <t>nav.woman-brand2.0.url</t>
  </si>
  <si>
    <t>nav.woman-brand2.0.current</t>
  </si>
  <si>
    <t>nav.woman-brand2.0.priority</t>
  </si>
  <si>
    <t>nav.woman-brand2.1.name</t>
  </si>
  <si>
    <t>nav.woman-brand2.1.kana</t>
  </si>
  <si>
    <t>nav.woman-brand2.1.url</t>
  </si>
  <si>
    <t>nav.woman-brand2.1.current</t>
  </si>
  <si>
    <t>nav.woman-brand2.1.priority</t>
  </si>
  <si>
    <t>nav.woman-brand2.2.name</t>
  </si>
  <si>
    <t>nav.woman-brand2.2.kana</t>
  </si>
  <si>
    <t>nav.woman-brand2.2.url</t>
  </si>
  <si>
    <t>nav.woman-brand2.2.current</t>
  </si>
  <si>
    <t>nav.woman-brand2.2.priority</t>
  </si>
  <si>
    <t>nav.woman-brand2.3.name</t>
  </si>
  <si>
    <t>nav.woman-brand2.3.kana</t>
  </si>
  <si>
    <t>nav.woman-brand2.3.url</t>
  </si>
  <si>
    <t>nav.woman-brand2.3.current</t>
  </si>
  <si>
    <t>nav.woman-brand2.3.priority</t>
  </si>
  <si>
    <t>nav.woman-brand2.4.name</t>
  </si>
  <si>
    <t>nav.woman-brand2.4.kana</t>
  </si>
  <si>
    <t>nav.woman-brand2.4.url</t>
  </si>
  <si>
    <t>nav.woman-brand2.4.current</t>
  </si>
  <si>
    <t>nav.woman-brand2.4.priority</t>
  </si>
  <si>
    <t>current</t>
    <phoneticPr fontId="18"/>
  </si>
  <si>
    <t>nav.goods-items1.0.name</t>
  </si>
  <si>
    <t>nav.goods-items1.0.url</t>
  </si>
  <si>
    <t>nav.goods-items1.1.name</t>
  </si>
  <si>
    <t>nav.goods-items1.1.url</t>
  </si>
  <si>
    <t>nav.goods-items1.2.name</t>
  </si>
  <si>
    <t>nav.goods-items1.2.url</t>
  </si>
  <si>
    <t>nav.goods-items1.3.name</t>
  </si>
  <si>
    <t>nav.goods-items1.3.url</t>
  </si>
  <si>
    <t>nav.goods-items1.4.name</t>
  </si>
  <si>
    <t>nav.goods-items1.4.url</t>
  </si>
  <si>
    <t>nav.goods-items1.5.name</t>
  </si>
  <si>
    <t>nav.goods-items1.5.url</t>
  </si>
  <si>
    <t>nav.goods-items1.6.name</t>
  </si>
  <si>
    <t>nav.goods-items1.6.url</t>
  </si>
  <si>
    <t>nav.goods-items1.7.name</t>
  </si>
  <si>
    <t>nav.goods-items1.7.url</t>
  </si>
  <si>
    <t>nav.goods-items2.0.name</t>
  </si>
  <si>
    <t>nav.goods-items2.0.url</t>
  </si>
  <si>
    <t>nav.goods-items2.1.name</t>
  </si>
  <si>
    <t>nav.goods-items2.1.url</t>
  </si>
  <si>
    <t>nav.goods-items2.2.name</t>
  </si>
  <si>
    <t>nav.goods-items2.2.url</t>
  </si>
  <si>
    <t>nav.goods-items2.3.name</t>
  </si>
  <si>
    <t>nav.goods-items2.3.url</t>
  </si>
  <si>
    <t>nav.goods-items2.4.name</t>
  </si>
  <si>
    <t>nav.goods-items2.4.url</t>
  </si>
  <si>
    <t>nav.goods-items2.5.name</t>
  </si>
  <si>
    <t>nav.goods-items2.5.url</t>
  </si>
  <si>
    <t>nav.goods-items2.6.name</t>
  </si>
  <si>
    <t>nav.goods-items2.6.url</t>
  </si>
  <si>
    <t>2017AW COLLECTION</t>
  </si>
  <si>
    <t>2017AW COLLECTION</t>
    <phoneticPr fontId="18"/>
  </si>
  <si>
    <t>2017SS COLLECTION</t>
  </si>
  <si>
    <t>2017SS COLLECTION</t>
    <phoneticPr fontId="18"/>
  </si>
  <si>
    <t>/fs/lilietnene/c/17awsale</t>
  </si>
  <si>
    <t>/fs/lilietnene/c/17awsale</t>
    <phoneticPr fontId="18"/>
  </si>
  <si>
    <t>/fs/lilietnene/c/17sssale</t>
  </si>
  <si>
    <t>/fs/lilietnene/c/17sssale</t>
    <phoneticPr fontId="18"/>
  </si>
  <si>
    <t>キッズ</t>
  </si>
  <si>
    <t>ティーン</t>
  </si>
  <si>
    <t>レディース</t>
  </si>
  <si>
    <t>雑貨・アクセサリー</t>
  </si>
  <si>
    <t>/fs/lilietnene/c/wakeari</t>
  </si>
  <si>
    <t>/fs/lilietnene/c/wakeari</t>
    <phoneticPr fontId="18"/>
  </si>
  <si>
    <t>/fs/lilietnene/c/psalebaby201410</t>
  </si>
  <si>
    <t>/fs/lilietnene/c/psalebaby201410</t>
    <phoneticPr fontId="18"/>
  </si>
  <si>
    <t>/fs/lilietnene/c/psalekids201410</t>
  </si>
  <si>
    <t>/fs/lilietnene/c/psalekids201410</t>
    <phoneticPr fontId="18"/>
  </si>
  <si>
    <t>/fs/lilietnene/c/psaleteen201410</t>
  </si>
  <si>
    <t>/fs/lilietnene/c/psaleteen201410</t>
    <phoneticPr fontId="18"/>
  </si>
  <si>
    <t>/fs/lilietnene/c/psalewomen201410</t>
  </si>
  <si>
    <t>/fs/lilietnene/c/psalewomen201410</t>
    <phoneticPr fontId="18"/>
  </si>
  <si>
    <t>/fs/lilietnene/c/psalezakka201410</t>
  </si>
  <si>
    <t>/fs/lilietnene/c/psalezakka201410</t>
    <phoneticPr fontId="18"/>
  </si>
  <si>
    <t>nav.sale-outlet.0.name</t>
  </si>
  <si>
    <t>nav.sale-outlet.0.url</t>
  </si>
  <si>
    <t>nav.sale-outlet.1.name</t>
  </si>
  <si>
    <t>nav.sale-outlet.1.url</t>
  </si>
  <si>
    <t>nav.sale-outlet.2.name</t>
  </si>
  <si>
    <t>nav.sale-outlet.2.url</t>
  </si>
  <si>
    <t>nav.sale-outlet.3.name</t>
  </si>
  <si>
    <t>nav.sale-outlet.3.url</t>
  </si>
  <si>
    <t>nav.sale-outlet.4.name</t>
  </si>
  <si>
    <t>nav.sale-outlet.4.url</t>
  </si>
  <si>
    <t>nav.sale-outlet.5.name</t>
  </si>
  <si>
    <t>nav.sale-outlet.5.url</t>
  </si>
  <si>
    <t>2A（2歳）</t>
  </si>
  <si>
    <t>2A（2歳）</t>
    <rPh sb="4" eb="5">
      <t>サイ</t>
    </rPh>
    <phoneticPr fontId="18"/>
  </si>
  <si>
    <t>3A（3歳）</t>
  </si>
  <si>
    <t>3A（3歳）</t>
    <phoneticPr fontId="18"/>
  </si>
  <si>
    <t>4A（4歳）</t>
  </si>
  <si>
    <t>4A（4歳）</t>
    <phoneticPr fontId="18"/>
  </si>
  <si>
    <t>6A（6歳）</t>
  </si>
  <si>
    <t>6A（6歳）</t>
    <phoneticPr fontId="18"/>
  </si>
  <si>
    <t>8A（8歳）</t>
  </si>
  <si>
    <t>8A（8歳）</t>
    <phoneticPr fontId="18"/>
  </si>
  <si>
    <t>サイズガイド</t>
  </si>
  <si>
    <t>サイズガイド</t>
    <phoneticPr fontId="18"/>
  </si>
  <si>
    <t>sizeguide.html</t>
  </si>
  <si>
    <t>sizeguide.html</t>
    <phoneticPr fontId="18"/>
  </si>
  <si>
    <t>nav.baby-size.4.size</t>
  </si>
  <si>
    <t>nav.baby-size.4.url</t>
  </si>
  <si>
    <t>nav.kids-size.7.size</t>
  </si>
  <si>
    <t>nav.kids-size.7.url</t>
  </si>
  <si>
    <t>帽子</t>
  </si>
  <si>
    <t>/fs/lilietnene/c/item-l-acc-goods-hats-caps</t>
  </si>
  <si>
    <t>newarrivals</t>
    <phoneticPr fontId="18"/>
  </si>
  <si>
    <t>ネックレス</t>
  </si>
  <si>
    <t>リング・ブレスレット</t>
  </si>
  <si>
    <t>ピアス・イヤリング</t>
  </si>
  <si>
    <t>パンプス・バレエ</t>
  </si>
  <si>
    <t>ブーツ</t>
  </si>
  <si>
    <t>サンダル</t>
  </si>
  <si>
    <t>スニーカー</t>
  </si>
  <si>
    <t>レインシューズ</t>
  </si>
  <si>
    <t>長傘・折りたたみ傘</t>
  </si>
  <si>
    <t>item-l-acc-goods-necklace</t>
  </si>
  <si>
    <t>item-l-acc-goods-bracelet-rings</t>
  </si>
  <si>
    <t>item-l-acc-goods-earrings</t>
  </si>
  <si>
    <t>item-l-acc-goods-hats-caps</t>
  </si>
  <si>
    <t>item-l-acc-goods-tights-socks</t>
  </si>
  <si>
    <t>item-l-shoes-pumps</t>
  </si>
  <si>
    <t>item-l-shoes-boots</t>
  </si>
  <si>
    <t>item-l-shoes-sandales</t>
  </si>
  <si>
    <t>item-l-shoes-sneakers</t>
  </si>
  <si>
    <t>item-l-shoes-rainshoes</t>
  </si>
  <si>
    <t>item-l-umbrella</t>
  </si>
  <si>
    <t>/fs/lilietnene/c/item-l-acc-goods-bag</t>
    <phoneticPr fontId="18"/>
  </si>
  <si>
    <t>/fs/lilietnene/c/item-l-acc-goods-scarf-stole</t>
    <phoneticPr fontId="18"/>
  </si>
  <si>
    <t>/fs/lilietnene/c/item-l-acc-goods-necklace</t>
  </si>
  <si>
    <t>/fs/lilietnene/c/item-l-acc-goods-necklace</t>
    <phoneticPr fontId="18"/>
  </si>
  <si>
    <t>/fs/lilietnene/c/item-l-acc-goods-bracelet-rings</t>
  </si>
  <si>
    <t>/fs/lilietnene/c/item-l-acc-goods-bracelet-rings</t>
    <phoneticPr fontId="18"/>
  </si>
  <si>
    <t>/fs/lilietnene/c/item-l-acc-goods-earrings</t>
  </si>
  <si>
    <t>/fs/lilietnene/c/item-l-acc-goods-earrings</t>
    <phoneticPr fontId="18"/>
  </si>
  <si>
    <t>/fs/lilietnene/c/item-l-acc-goods-hats-caps</t>
    <phoneticPr fontId="18"/>
  </si>
  <si>
    <t>/fs/lilietnene/c/item-l-acc-goods-tights-socks</t>
  </si>
  <si>
    <t>/fs/lilietnene/c/item-l-acc-goods-tights-socks</t>
    <phoneticPr fontId="18"/>
  </si>
  <si>
    <t>/fs/lilietnene/c/item-l-shoes-pumps</t>
  </si>
  <si>
    <t>/fs/lilietnene/c/item-l-shoes-pumps</t>
    <phoneticPr fontId="18"/>
  </si>
  <si>
    <t>/fs/lilietnene/c/item-l-shoes-boots</t>
  </si>
  <si>
    <t>/fs/lilietnene/c/item-l-shoes-boots</t>
    <phoneticPr fontId="18"/>
  </si>
  <si>
    <t>/fs/lilietnene/c/item-l-shoes-sandales</t>
  </si>
  <si>
    <t>/fs/lilietnene/c/item-l-shoes-sandales</t>
    <phoneticPr fontId="18"/>
  </si>
  <si>
    <t>/fs/lilietnene/c/item-l-shoes-sneakers</t>
  </si>
  <si>
    <t>/fs/lilietnene/c/item-l-shoes-sneakers</t>
    <phoneticPr fontId="18"/>
  </si>
  <si>
    <t>/fs/lilietnene/c/item-l-shoes-rainshoes</t>
  </si>
  <si>
    <t>/fs/lilietnene/c/item-l-shoes-rainshoes</t>
    <phoneticPr fontId="18"/>
  </si>
  <si>
    <t>/fs/lilietnene/c/item-l-umbrella</t>
  </si>
  <si>
    <t>/fs/lilietnene/c/item-l-umbrella</t>
    <phoneticPr fontId="18"/>
  </si>
  <si>
    <t>woman.item.6.name</t>
  </si>
  <si>
    <t>woman.item.6.url</t>
  </si>
  <si>
    <t>woman.item.6.icon</t>
  </si>
  <si>
    <t>woman.item.6.alt</t>
  </si>
  <si>
    <t>woman.item.7.name</t>
  </si>
  <si>
    <t>woman.item.7.url</t>
  </si>
  <si>
    <t>woman.item.7.icon</t>
  </si>
  <si>
    <t>woman.item.7.alt</t>
  </si>
  <si>
    <t>woman.item.8.name</t>
  </si>
  <si>
    <t>woman.item.8.url</t>
  </si>
  <si>
    <t>woman.item.8.icon</t>
  </si>
  <si>
    <t>woman.item.8.alt</t>
  </si>
  <si>
    <t>woman.item.9.name</t>
  </si>
  <si>
    <t>woman.item.9.url</t>
  </si>
  <si>
    <t>woman.item.9.icon</t>
  </si>
  <si>
    <t>woman.item.9.alt</t>
  </si>
  <si>
    <t>woman.item.10.name</t>
  </si>
  <si>
    <t>woman.item.10.url</t>
  </si>
  <si>
    <t>woman.item.10.icon</t>
  </si>
  <si>
    <t>woman.item.10.alt</t>
  </si>
  <si>
    <t>woman.item.11.name</t>
  </si>
  <si>
    <t>woman.item.11.url</t>
  </si>
  <si>
    <t>woman.item.11.icon</t>
  </si>
  <si>
    <t>woman.item.11.alt</t>
  </si>
  <si>
    <t>woman.item.12.name</t>
  </si>
  <si>
    <t>woman.item.12.url</t>
  </si>
  <si>
    <t>woman.item.12.icon</t>
  </si>
  <si>
    <t>woman.item.12.alt</t>
  </si>
  <si>
    <t>woman.item.13.name</t>
  </si>
  <si>
    <t>woman.item.13.url</t>
  </si>
  <si>
    <t>woman.item.13.icon</t>
  </si>
  <si>
    <t>woman.item.13.alt</t>
  </si>
  <si>
    <t>woman.item.14.name</t>
  </si>
  <si>
    <t>woman.item.14.url</t>
  </si>
  <si>
    <t>woman.item.14.icon</t>
  </si>
  <si>
    <t>woman.item.14.alt</t>
  </si>
  <si>
    <t>woman.item.15.name</t>
  </si>
  <si>
    <t>woman.item.15.url</t>
  </si>
  <si>
    <t>woman.item.15.icon</t>
  </si>
  <si>
    <t>woman.item.15.alt</t>
  </si>
  <si>
    <t>woman.item.16.name</t>
  </si>
  <si>
    <t>woman.item.16.url</t>
  </si>
  <si>
    <t>woman.item.16.icon</t>
  </si>
  <si>
    <t>woman.item.16.alt</t>
  </si>
  <si>
    <t>anneclairpetit</t>
  </si>
  <si>
    <t>apolline</t>
  </si>
  <si>
    <t>biobubyekobo</t>
  </si>
  <si>
    <t>coraltusk</t>
  </si>
  <si>
    <t>egmonttoys</t>
  </si>
  <si>
    <t>engel</t>
  </si>
  <si>
    <t>elizabethw</t>
  </si>
  <si>
    <t>fabulousgarlands</t>
  </si>
  <si>
    <t>flamant</t>
  </si>
  <si>
    <t>foglinenwork</t>
  </si>
  <si>
    <t>gg</t>
  </si>
  <si>
    <t>gluckskafer</t>
  </si>
  <si>
    <t>hubsch</t>
  </si>
  <si>
    <t>irishantverk</t>
  </si>
  <si>
    <t>kallisto</t>
  </si>
  <si>
    <t>kathekruse</t>
  </si>
  <si>
    <t>kiener</t>
  </si>
  <si>
    <t>kiko</t>
  </si>
  <si>
    <t>koesen</t>
  </si>
  <si>
    <t>lacerisesurlegateau</t>
  </si>
  <si>
    <t>lyra</t>
  </si>
  <si>
    <t>maconetlesquoy</t>
  </si>
  <si>
    <t>mimilou</t>
  </si>
  <si>
    <t>minaperhonen</t>
  </si>
  <si>
    <t>muskhane</t>
  </si>
  <si>
    <t>mylittleday</t>
  </si>
  <si>
    <t>naef</t>
  </si>
  <si>
    <t>nathalielete</t>
  </si>
  <si>
    <t>nic</t>
  </si>
  <si>
    <t>numero74</t>
  </si>
  <si>
    <t>oeuf</t>
  </si>
  <si>
    <t>petitpan</t>
  </si>
  <si>
    <t>rice</t>
  </si>
  <si>
    <t>rsglobaltrade</t>
  </si>
  <si>
    <t>senger</t>
  </si>
  <si>
    <t>sianbebe</t>
  </si>
  <si>
    <t>sina</t>
  </si>
  <si>
    <t>stockmar</t>
  </si>
  <si>
    <t>tamarmogendorff</t>
  </si>
  <si>
    <t>tau</t>
  </si>
  <si>
    <t>trousselier</t>
  </si>
  <si>
    <t>vilac</t>
  </si>
  <si>
    <t>woolrich</t>
  </si>
  <si>
    <t>/fs/lilietnene/c/hubsch</t>
  </si>
  <si>
    <t>/fs/lilietnene/c/irishantverk</t>
  </si>
  <si>
    <t>/fs/lilietnene/c/foglinenwork-all</t>
  </si>
  <si>
    <t>/fs/lilietnene/c/numero74</t>
  </si>
  <si>
    <t>/fs/lilietnene/c/muskhane</t>
  </si>
  <si>
    <t>/fs/lilietnene/c/biobubyekobo</t>
  </si>
  <si>
    <t>/fs/lilietnene/c/senger</t>
  </si>
  <si>
    <t>/fs/lilietnene/c/trousselier</t>
  </si>
  <si>
    <t>/fs/lilietnene/c/naef</t>
  </si>
  <si>
    <t>/fs/lilietnene/c/kiko</t>
  </si>
  <si>
    <t>/fs/lilietnene/c/gg</t>
  </si>
  <si>
    <t>/fs/lilietnene/c/sina</t>
  </si>
  <si>
    <t>/fs/lilietnene/c/nic</t>
  </si>
  <si>
    <t>/fs/lilietnene/c/nathalielete</t>
  </si>
  <si>
    <t>/fs/lilietnene/c/koesen</t>
  </si>
  <si>
    <t>/fs/lilietnene/c/kallisto</t>
  </si>
  <si>
    <t>/fs/lilietnene/c/kathekruse</t>
  </si>
  <si>
    <t>/fs/lilietnene/c/kiener</t>
  </si>
  <si>
    <t>/fs/lilietnene/c/vilac</t>
  </si>
  <si>
    <t>/fs/lilietnene/c/anneclairepetit</t>
  </si>
  <si>
    <t>/fs/lilietnene/c/apolline</t>
  </si>
  <si>
    <t>/fs/lilietnene/c/engel</t>
  </si>
  <si>
    <t>/fs/lilietnene/c/fabulousgarlands</t>
  </si>
  <si>
    <t>/fs/lilietnene/c/flamant</t>
  </si>
  <si>
    <t>/fs/lilietnene/c/gluckskafer</t>
  </si>
  <si>
    <t>/fs/lilietnene/c/lacerisesurlegateau</t>
  </si>
  <si>
    <t>インテリア/ハウスウエア</t>
  </si>
  <si>
    <t>/fs/lilietnene/c/lyra</t>
  </si>
  <si>
    <t>/fs/lilietnene/c/mimilou</t>
  </si>
  <si>
    <t>/fs/lilietnene/c/petitpan</t>
  </si>
  <si>
    <t>バレエ</t>
  </si>
  <si>
    <t>/fs/lilietnene/c/rice</t>
  </si>
  <si>
    <t>ドイツのRSグローバルトレード社の本物と見間違えるほどのツリーは、日本でも1970年代から愛され続けてきました。
永く使うことを前提にしたデザインと品質で組み立て式としては世界随一と言われるています。</t>
  </si>
  <si>
    <t>/fs/lilietnene/c/rsglobaltrade</t>
  </si>
  <si>
    <t>/fs/lilietnene/c/sianbebe</t>
  </si>
  <si>
    <t>/fs/lilietnene/c/stockmar</t>
  </si>
  <si>
    <t>/fs/lilietnene/c/tamarmogendorff</t>
  </si>
  <si>
    <t>/fs/lilietnene/c/tau</t>
  </si>
  <si>
    <t>bensimon-k</t>
  </si>
  <si>
    <t>/fs/lilietnene/c/bensimon-k</t>
  </si>
  <si>
    <t>/fs/lilietnene/c/bensimon-k</t>
    <phoneticPr fontId="18"/>
  </si>
  <si>
    <t>10A（10歳）</t>
  </si>
  <si>
    <t>10A（10歳）</t>
    <phoneticPr fontId="18"/>
  </si>
  <si>
    <t>12A（12歳）</t>
  </si>
  <si>
    <t>12A（12歳）</t>
    <phoneticPr fontId="18"/>
  </si>
  <si>
    <t>14A（14歳）</t>
  </si>
  <si>
    <t>14A（14歳）</t>
    <phoneticPr fontId="18"/>
  </si>
  <si>
    <t>16A（16歳）</t>
  </si>
  <si>
    <t>16A（16歳）</t>
    <phoneticPr fontId="18"/>
  </si>
  <si>
    <t>/fs/lilietnene/c/bensimon-l</t>
  </si>
  <si>
    <t>シューズ</t>
    <phoneticPr fontId="18"/>
  </si>
  <si>
    <t>/fs/lilietnene/c/item-l-shoes-all</t>
  </si>
  <si>
    <t>/fs/lilietnene/c/item-l-shoes-all</t>
    <phoneticPr fontId="18"/>
  </si>
  <si>
    <t>/fs/lilietnene/c/item-l-acc-goods-bag</t>
    <phoneticPr fontId="18"/>
  </si>
  <si>
    <t>/fs/lilietnene/c/item-l-acc-goods-scarf-stole</t>
    <phoneticPr fontId="18"/>
  </si>
  <si>
    <t>DRAGON</t>
    <phoneticPr fontId="18"/>
  </si>
  <si>
    <t>/fs/lilietnene/c/couprio-giftset</t>
  </si>
  <si>
    <t>/fs/lilietnene/c/couprio-giftset</t>
    <phoneticPr fontId="18"/>
  </si>
  <si>
    <t>/fs/lilietnene/c/giftset</t>
  </si>
  <si>
    <t>/fs/lilietnene/c/giftset</t>
    <phoneticPr fontId="18"/>
  </si>
  <si>
    <t>訳ありアイテム</t>
  </si>
  <si>
    <t>訳ありアイテム</t>
    <phoneticPr fontId="18"/>
  </si>
  <si>
    <t>/fs/lilietnene/GoodsSearchList.html?_e_k=%82%60&amp;keyword=size-18M&amp;searchBtn.x=0&amp;searchBtn.y=0</t>
  </si>
  <si>
    <t>/fs/lilietnene/GoodsSearchList.html?_e_k=%82%60&amp;keyword=size-24M&amp;searchBtn.x=0&amp;searchBtn.y=0</t>
  </si>
  <si>
    <t>/fs/lilietnene/GoodsSearchList.html?_e_k=%82%60&amp;keyword=size-2A&amp;searchBtn.x=0&amp;searchBtn.y=0</t>
  </si>
  <si>
    <t>/fs/lilietnene/GoodsSearchList.html?_e_k=%82%60&amp;keyword=size-14A&amp;searchBtn.x=0&amp;searchBtn.y=0</t>
  </si>
  <si>
    <t>nav.kids-size.8.size</t>
  </si>
  <si>
    <t>nav.kids-size.8.url</t>
  </si>
  <si>
    <t>/fs/lilietnene/GoodsSearchList.html?_e_k=%82%60&amp;keyword=size-16A&amp;searchBtn.x=0&amp;searchBtn.y=0</t>
  </si>
  <si>
    <t>nav.kids-size.9.size</t>
  </si>
  <si>
    <t>nav.kids-size.9.url</t>
  </si>
  <si>
    <t>nav.woman-items.6.name</t>
  </si>
  <si>
    <t>nav.woman-items.6.url</t>
  </si>
  <si>
    <t>nav.woman-brand1.5.name</t>
  </si>
  <si>
    <t>nav.woman-brand1.5.kana</t>
  </si>
  <si>
    <t>nav.woman-brand1.5.url</t>
  </si>
  <si>
    <t>nav.woman-brand1.5.current</t>
  </si>
  <si>
    <t>nav.woman-brand1.5.priority</t>
  </si>
  <si>
    <t>nav.goods-toy.0.name</t>
  </si>
  <si>
    <t>nav.goods-toy.0.kana</t>
  </si>
  <si>
    <t>nav.goods-toy.0.url</t>
  </si>
  <si>
    <t>nav.goods-toy.0.priority</t>
  </si>
  <si>
    <t>nav.goods-toy.1.name</t>
  </si>
  <si>
    <t>nav.goods-toy.1.kana</t>
  </si>
  <si>
    <t>nav.goods-toy.1.url</t>
  </si>
  <si>
    <t>nav.goods-toy.1.priority</t>
  </si>
  <si>
    <t>nav.goods-toy.2.name</t>
  </si>
  <si>
    <t>nav.goods-toy.2.kana</t>
  </si>
  <si>
    <t>nav.goods-toy.2.url</t>
  </si>
  <si>
    <t>nav.goods-toy.2.priority</t>
  </si>
  <si>
    <t>nav.goods-toy.3.name</t>
  </si>
  <si>
    <t>nav.goods-toy.3.kana</t>
  </si>
  <si>
    <t>nav.goods-toy.3.url</t>
  </si>
  <si>
    <t>nav.goods-toy.3.priority</t>
  </si>
  <si>
    <t>nav.goods-toy.4.name</t>
  </si>
  <si>
    <t>nav.goods-toy.4.kana</t>
  </si>
  <si>
    <t>nav.goods-toy.4.url</t>
  </si>
  <si>
    <t>nav.goods-toy.4.priority</t>
  </si>
  <si>
    <t>nav.goods-toy.5.name</t>
  </si>
  <si>
    <t>nav.goods-toy.5.kana</t>
  </si>
  <si>
    <t>nav.goods-toy.5.url</t>
  </si>
  <si>
    <t>nav.goods-toy.5.priority</t>
  </si>
  <si>
    <t>nav.goods-toy.6.name</t>
  </si>
  <si>
    <t>nav.goods-toy.6.kana</t>
  </si>
  <si>
    <t>nav.goods-toy.6.url</t>
  </si>
  <si>
    <t>nav.goods-toy.6.priority</t>
  </si>
  <si>
    <t>nav.goods-toy.7.name</t>
  </si>
  <si>
    <t>nav.goods-toy.7.kana</t>
  </si>
  <si>
    <t>nav.goods-toy.7.url</t>
  </si>
  <si>
    <t>nav.goods-toy.7.priority</t>
  </si>
  <si>
    <t>nav.goods-toy.8.name</t>
  </si>
  <si>
    <t>nav.goods-toy.8.kana</t>
  </si>
  <si>
    <t>nav.goods-toy.8.url</t>
  </si>
  <si>
    <t>nav.goods-toy.8.priority</t>
  </si>
  <si>
    <t>nav.goods-toy.9.name</t>
  </si>
  <si>
    <t>nav.goods-toy.9.kana</t>
  </si>
  <si>
    <t>nav.goods-toy.9.url</t>
  </si>
  <si>
    <t>nav.goods-toy.9.priority</t>
  </si>
  <si>
    <t>nav.goods-toy.10.name</t>
  </si>
  <si>
    <t>nav.goods-toy.10.kana</t>
  </si>
  <si>
    <t>nav.goods-toy.10.url</t>
  </si>
  <si>
    <t>nav.goods-toy.10.priority</t>
  </si>
  <si>
    <t>nav.goods-toy.11.name</t>
  </si>
  <si>
    <t>nav.goods-toy.11.kana</t>
  </si>
  <si>
    <t>nav.goods-toy.11.url</t>
  </si>
  <si>
    <t>nav.goods-toy.11.priority</t>
  </si>
  <si>
    <t>/fs/lilietnene/GoodsSearchList.html?_e_k=%82%60&amp;keyword=gift-baby&amp;searchBtn.x=0&amp;searchBtn.y=0</t>
    <phoneticPr fontId="18"/>
  </si>
  <si>
    <t>Gift for baby</t>
  </si>
  <si>
    <t>Gift for baby</t>
    <phoneticPr fontId="18"/>
  </si>
  <si>
    <t>Toy</t>
  </si>
  <si>
    <t>Toy</t>
    <phoneticPr fontId="18"/>
  </si>
  <si>
    <t>/fs/lilietnene/GoodsSearchList.html?_e_k=%82%60&amp;keyword=toy-baby&amp;searchBtn.x=7&amp;searchBtn.y=7</t>
  </si>
  <si>
    <t>/fs/lilietnene/GoodsSearchList.html?_e_k=%82%60&amp;keyword=toy-baby&amp;searchBtn.x=7&amp;searchBtn.y=7</t>
    <phoneticPr fontId="18"/>
  </si>
  <si>
    <t>Gift for kids</t>
  </si>
  <si>
    <t>Gift for kids</t>
    <phoneticPr fontId="18"/>
  </si>
  <si>
    <t>/fs/lilietnene/GoodsSearchList.html?_e_k=%82%60&amp;keyword=toy-kids&amp;searchBtn.x=7&amp;searchBtn.y=7</t>
  </si>
  <si>
    <t>/fs/lilietnene/GoodsSearchList.html?_e_k=%82%60&amp;keyword=toy-kids&amp;searchBtn.x=7&amp;searchBtn.y=7</t>
    <phoneticPr fontId="18"/>
  </si>
  <si>
    <t>Body Care</t>
  </si>
  <si>
    <t>Body Care</t>
    <phoneticPr fontId="18"/>
  </si>
  <si>
    <t>Gift for Woman</t>
  </si>
  <si>
    <t>Gift for Woman</t>
    <phoneticPr fontId="18"/>
  </si>
  <si>
    <t>/fs/lilietnene/c/zakka-elizabethw</t>
  </si>
  <si>
    <t>nav.baby-goods.0.name</t>
  </si>
  <si>
    <t>nav.baby-goods.0.url</t>
  </si>
  <si>
    <t>nav.baby-goods.1.name</t>
  </si>
  <si>
    <t>nav.baby-goods.1.url</t>
  </si>
  <si>
    <t>nav.kids-goods.0.name</t>
  </si>
  <si>
    <t>nav.kids-goods.0.url</t>
  </si>
  <si>
    <t>nav.kids-goods.1.name</t>
  </si>
  <si>
    <t>nav.kids-goods.1.url</t>
  </si>
  <si>
    <t>nav.woman-goods.0.name</t>
  </si>
  <si>
    <t>nav.woman-goods.0.url</t>
  </si>
  <si>
    <t>nav.woman-goods.1.name</t>
  </si>
  <si>
    <t>nav.woman-goods.1.url</t>
  </si>
  <si>
    <t>/fs/lilietnene/GoodsSearchList.html?_e_k=%82%60&amp;keyword=gift-kids&amp;searchBtn.x=0&amp;searchBtn.y=0</t>
    <phoneticPr fontId="18"/>
  </si>
  <si>
    <t>bonpoint18ss-b</t>
  </si>
  <si>
    <t>bonpoint18ss-b</t>
    <phoneticPr fontId="18"/>
  </si>
  <si>
    <t>bonpoint18ss-k</t>
  </si>
  <si>
    <t>bonpoint18ss-k</t>
    <phoneticPr fontId="18"/>
  </si>
  <si>
    <t>pepe-b</t>
  </si>
  <si>
    <t>pepe-b</t>
    <phoneticPr fontId="18"/>
  </si>
  <si>
    <t>bellerose</t>
    <phoneticPr fontId="18"/>
  </si>
  <si>
    <t>hartford-k</t>
  </si>
  <si>
    <t>hartford-k</t>
    <phoneticPr fontId="18"/>
  </si>
  <si>
    <t>pepe-k</t>
  </si>
  <si>
    <t>pepe-k</t>
    <phoneticPr fontId="18"/>
  </si>
  <si>
    <t>petitbateau</t>
    <phoneticPr fontId="18"/>
  </si>
  <si>
    <t>makie-b</t>
  </si>
  <si>
    <t>makie-b</t>
    <phoneticPr fontId="18"/>
  </si>
  <si>
    <t>christinarohde</t>
    <phoneticPr fontId="18"/>
  </si>
  <si>
    <t>couprio</t>
    <phoneticPr fontId="18"/>
  </si>
  <si>
    <t>albumdifamiglia</t>
    <phoneticPr fontId="18"/>
  </si>
  <si>
    <t>makie-k</t>
  </si>
  <si>
    <t>makie-k</t>
    <phoneticPr fontId="18"/>
  </si>
  <si>
    <t>/fs/lilietnene/c/noro</t>
    <phoneticPr fontId="18"/>
  </si>
  <si>
    <t>noro</t>
    <phoneticPr fontId="18"/>
  </si>
  <si>
    <t>labottegadigiorgia</t>
    <phoneticPr fontId="18"/>
  </si>
  <si>
    <t>soeur</t>
    <phoneticPr fontId="18"/>
  </si>
  <si>
    <t>ao</t>
    <phoneticPr fontId="18"/>
  </si>
  <si>
    <t>christinarohde</t>
    <phoneticPr fontId="18"/>
  </si>
  <si>
    <t>sansarcidet</t>
    <phoneticPr fontId="18"/>
  </si>
  <si>
    <t>repetto</t>
    <phoneticPr fontId="18"/>
  </si>
  <si>
    <t>bensimon-k</t>
    <phoneticPr fontId="18"/>
  </si>
  <si>
    <t>/fs/lilietnene/c/bensimon-l</t>
    <phoneticPr fontId="18"/>
  </si>
  <si>
    <t>bensimon-l</t>
  </si>
  <si>
    <t>bensimon-l</t>
    <phoneticPr fontId="18"/>
  </si>
  <si>
    <t>emileetida</t>
    <phoneticPr fontId="18"/>
  </si>
  <si>
    <t>nathalieverlinden</t>
    <phoneticPr fontId="18"/>
  </si>
  <si>
    <t>porselli</t>
    <phoneticPr fontId="18"/>
  </si>
  <si>
    <t>tyamai</t>
    <phoneticPr fontId="18"/>
  </si>
  <si>
    <t>sophiedigard</t>
    <phoneticPr fontId="18"/>
  </si>
  <si>
    <t>lavenham</t>
    <phoneticPr fontId="18"/>
  </si>
  <si>
    <t>fabiorusconi</t>
    <phoneticPr fontId="18"/>
  </si>
  <si>
    <t>sofiedhoore</t>
    <phoneticPr fontId="18"/>
  </si>
  <si>
    <t>majesticfilatures</t>
    <phoneticPr fontId="18"/>
  </si>
  <si>
    <t>makie-l</t>
  </si>
  <si>
    <t>makie-l</t>
    <phoneticPr fontId="18"/>
  </si>
  <si>
    <t>bonpoint-y</t>
  </si>
  <si>
    <t>bonpoint-y</t>
    <phoneticPr fontId="18"/>
  </si>
  <si>
    <t>dragon</t>
    <phoneticPr fontId="18"/>
  </si>
  <si>
    <t>tww</t>
    <phoneticPr fontId="18"/>
  </si>
  <si>
    <t>beaumont-o</t>
    <phoneticPr fontId="18"/>
  </si>
  <si>
    <t>pepe-l</t>
  </si>
  <si>
    <t>falierosarti</t>
    <phoneticPr fontId="18"/>
  </si>
  <si>
    <t>pepe-l</t>
    <phoneticPr fontId="18"/>
  </si>
  <si>
    <t>manuelleguibal</t>
    <phoneticPr fontId="18"/>
  </si>
  <si>
    <t>charli</t>
    <phoneticPr fontId="18"/>
  </si>
  <si>
    <t>khadiandco</t>
    <phoneticPr fontId="18"/>
  </si>
  <si>
    <t>cecileboccara</t>
    <phoneticPr fontId="18"/>
  </si>
  <si>
    <t>chanluu</t>
    <phoneticPr fontId="18"/>
  </si>
  <si>
    <t>meduse</t>
    <phoneticPr fontId="18"/>
  </si>
  <si>
    <t>swildens</t>
    <phoneticPr fontId="18"/>
  </si>
  <si>
    <t>muhlbauer</t>
    <phoneticPr fontId="18"/>
  </si>
  <si>
    <t>birkenstock</t>
    <phoneticPr fontId="18"/>
  </si>
  <si>
    <t>mauricemanufacture</t>
    <phoneticPr fontId="18"/>
  </si>
  <si>
    <t>/fs/lilietnene/c/anniel</t>
    <phoneticPr fontId="18"/>
  </si>
  <si>
    <t>/fs/lilietnene/c/humanoid</t>
    <phoneticPr fontId="18"/>
  </si>
  <si>
    <t>humanoid</t>
    <phoneticPr fontId="18"/>
  </si>
  <si>
    <t>anniel</t>
    <phoneticPr fontId="18"/>
  </si>
  <si>
    <t>polder-k</t>
  </si>
  <si>
    <t>polder-k</t>
    <phoneticPr fontId="18"/>
  </si>
  <si>
    <t>lescoyotesdeparis-l</t>
  </si>
  <si>
    <t>lescoyotesdeparis-l</t>
    <phoneticPr fontId="18"/>
  </si>
  <si>
    <t>lescoyotesdeparis-k</t>
  </si>
  <si>
    <t>lescoyotesdeparis-k</t>
    <phoneticPr fontId="18"/>
  </si>
  <si>
    <t>polder-l</t>
  </si>
  <si>
    <t>polder-l</t>
    <phoneticPr fontId="18"/>
  </si>
  <si>
    <t>/fs/lilietnene/c/bonpoint18ss-b18ss</t>
  </si>
  <si>
    <t>/fs/lilietnene/c/bonpoint18ss-k18ss</t>
  </si>
  <si>
    <t>helenkaminski18ss</t>
  </si>
  <si>
    <t>helenkaminski18ss</t>
    <phoneticPr fontId="18"/>
  </si>
  <si>
    <t>HELEN KAMINSKI 18SS</t>
  </si>
  <si>
    <t>HELEN KAMINSKI 18SS</t>
    <phoneticPr fontId="18"/>
  </si>
  <si>
    <t>jaminpuech</t>
    <phoneticPr fontId="18"/>
  </si>
  <si>
    <t>http://c24.future-shop.jp/fs/lilietnene/GoodsSearchList.html?_e_k=%82%60&amp;keyword=sale-baby&amp;searchBtn.x=0&amp;searchBtn.y=0</t>
  </si>
  <si>
    <t>http://c24.future-shop.jp/fs/lilietnene/GoodsSearchList.html?_e_k=%82%60&amp;keyword=sale-kids&amp;searchBtn.x=2&amp;searchBtn.y=2</t>
  </si>
  <si>
    <t>http://c24.future-shop.jp/fs/lilietnene/GoodsSearchList.html?_e_k=%82%60&amp;keyword=sale-teen&amp;searchBtn.x=3&amp;searchBtn.y=12</t>
  </si>
  <si>
    <t>http://c24.future-shop.jp/fs/lilietnene/GoodsSearchList.html?_e_k=%82%60&amp;keyword=sale-woman&amp;searchBtn.x=10&amp;searchBtn.y=9</t>
  </si>
  <si>
    <t>http://c24.future-shop.jp/fs/lilietnene/GoodsSearchList.html?_e_k=%82%60&amp;keyword=sale-zakka&amp;searchBtn.x=10&amp;searchBtn.y=3</t>
  </si>
  <si>
    <t>ベビー</t>
    <phoneticPr fontId="18"/>
  </si>
  <si>
    <t>キッズ</t>
    <phoneticPr fontId="18"/>
  </si>
  <si>
    <t>ティーン</t>
    <phoneticPr fontId="18"/>
  </si>
  <si>
    <t>レディース</t>
    <phoneticPr fontId="18"/>
  </si>
  <si>
    <t>雑貨</t>
  </si>
  <si>
    <t>雑貨</t>
    <rPh sb="0" eb="2">
      <t>ザッカ</t>
    </rPh>
    <phoneticPr fontId="18"/>
  </si>
  <si>
    <t>シーズン</t>
  </si>
  <si>
    <t>ベビールーム</t>
  </si>
  <si>
    <t>キッズルーム</t>
  </si>
  <si>
    <t xml:space="preserve">HELEN KAMINSKI 18SS </t>
  </si>
  <si>
    <t>/fs/lilietnene/c/kitchen-tableware</t>
  </si>
  <si>
    <t>/fs/lilietnene/c/homelinens-goods</t>
  </si>
  <si>
    <t>/fs/lilietnene/c/bathroom</t>
  </si>
  <si>
    <t>/fs/lilietnene/c/smallstorages</t>
  </si>
  <si>
    <t>/fs/lilietnene/c/flowerbase</t>
  </si>
  <si>
    <t>/fs/lilietnene/c/decorative-objects</t>
  </si>
  <si>
    <t>/fs/lilietnene/c/lamp</t>
  </si>
  <si>
    <t>/fs/lilietnene/c/cushion-pillow</t>
  </si>
  <si>
    <t>nav.goods-items1.8.name</t>
  </si>
  <si>
    <t>nav.goods-items1.8.url</t>
  </si>
  <si>
    <t>/fs/lilietnene/c/craft</t>
  </si>
  <si>
    <t>/fs/lilietnene/c/decorative-mobile</t>
  </si>
  <si>
    <t>/fs/lilietnene/c/decoration</t>
  </si>
  <si>
    <t>/fs/lilietnene/c/kids-party</t>
  </si>
  <si>
    <t>/fs/lilietnene/c/stationary</t>
  </si>
  <si>
    <t>/fs/lilietnene/c/art</t>
  </si>
  <si>
    <t>/fs/lilietnene/c/seasonal</t>
  </si>
  <si>
    <t>nav.goods-items2.7.name</t>
  </si>
  <si>
    <t>nav.goods-items2.7.url</t>
  </si>
  <si>
    <t>/fs/lilietnene/c/baby-room</t>
  </si>
  <si>
    <t>nav.goods-items2.8.name</t>
  </si>
  <si>
    <t>nav.goods-items2.8.url</t>
  </si>
  <si>
    <t>/fs/lilietnene/c/kids-room</t>
  </si>
  <si>
    <t>nav.sale-season.0.name</t>
  </si>
  <si>
    <t>nav.sale-season.0.url</t>
  </si>
  <si>
    <t>nav.sale-season.1.name</t>
  </si>
  <si>
    <t>nav.sale-season.1.url</t>
  </si>
  <si>
    <t>nav.sale-category.0.name</t>
  </si>
  <si>
    <t>nav.sale-category.0.url</t>
  </si>
  <si>
    <t>nav.sale-category.1.name</t>
  </si>
  <si>
    <t>nav.sale-category.1.url</t>
  </si>
  <si>
    <t>nav.sale-category.2.name</t>
  </si>
  <si>
    <t>nav.sale-category.2.url</t>
  </si>
  <si>
    <t>nav.sale-category.3.name</t>
  </si>
  <si>
    <t>nav.sale-category.3.url</t>
  </si>
  <si>
    <t>nav.sale-category.4.name</t>
  </si>
  <si>
    <t>nav.sale-category.4.url</t>
  </si>
  <si>
    <t>2018.1.24</t>
  </si>
  <si>
    <t>2018.1.24</t>
    <phoneticPr fontId="18"/>
  </si>
  <si>
    <t>パリのPOLDERから定番人気のベビー用マルチキルトやクッション、バッグが到着！</t>
  </si>
  <si>
    <t>パリのPOLDERから定番人気のベビー用マルチキルトやクッション、バッグが到着！</t>
    <phoneticPr fontId="18"/>
  </si>
  <si>
    <t>春を先取り♪CARAMELから春の新作アイテムが到着しました！</t>
  </si>
  <si>
    <t>春を先取り♪CARAMELから春の新作アイテムが到着しました！</t>
    <phoneticPr fontId="18"/>
  </si>
  <si>
    <t>2018.1.29</t>
  </si>
  <si>
    <t>2018.1.29</t>
    <phoneticPr fontId="18"/>
  </si>
  <si>
    <t>SENGERから人気のぬいぐるみやポーチが再入荷！新登場のアイテムも！</t>
  </si>
  <si>
    <t>2018.1.31</t>
  </si>
  <si>
    <t>2018.1.31</t>
    <phoneticPr fontId="18"/>
  </si>
  <si>
    <t>SALE</t>
  </si>
  <si>
    <t>SALE</t>
    <phoneticPr fontId="18"/>
  </si>
  <si>
    <t>NEW</t>
    <phoneticPr fontId="18"/>
  </si>
  <si>
    <t>BONPOINT秋冬アイテムがさらにプライスダウン！40%OFFに！</t>
  </si>
  <si>
    <t>2018.2.1</t>
  </si>
  <si>
    <t>2018.2.1</t>
    <phoneticPr fontId="18"/>
  </si>
  <si>
    <t>春が待ち遠しくなるHELEN KAMINSKIのラフィアハットとバッグが新着！</t>
  </si>
  <si>
    <t>2018.2.5</t>
  </si>
  <si>
    <t>2018.2.5</t>
    <phoneticPr fontId="18"/>
  </si>
  <si>
    <t>2018.2.9</t>
  </si>
  <si>
    <t>2018.2.9</t>
    <phoneticPr fontId="18"/>
  </si>
  <si>
    <t>本日21時より！BONPOINT 2018SSがいよいよ販売スタート！</t>
  </si>
  <si>
    <t>本日21時より！BONPOINT 2018SSがいよいよ販売スタート！</t>
    <rPh sb="0" eb="2">
      <t>ホンジツ</t>
    </rPh>
    <rPh sb="4" eb="5">
      <t>ジ</t>
    </rPh>
    <rPh sb="28" eb="30">
      <t>ハンバイ</t>
    </rPh>
    <phoneticPr fontId="18"/>
  </si>
  <si>
    <t>CARAMELの春夏新作</t>
  </si>
  <si>
    <t>CARAMELの春夏新作</t>
    <rPh sb="8" eb="10">
      <t>ハルナツ</t>
    </rPh>
    <rPh sb="10" eb="12">
      <t>シンサク</t>
    </rPh>
    <phoneticPr fontId="18"/>
  </si>
  <si>
    <t>BONPOINT COMING SOON！</t>
  </si>
  <si>
    <t>BONPOINT COMING SOON！</t>
    <phoneticPr fontId="18"/>
  </si>
  <si>
    <t>BONPOINT</t>
    <phoneticPr fontId="18"/>
  </si>
  <si>
    <t>CARAMEL</t>
    <phoneticPr fontId="18"/>
  </si>
  <si>
    <t>SENGER</t>
    <phoneticPr fontId="18"/>
  </si>
  <si>
    <t>POLDER</t>
    <phoneticPr fontId="18"/>
  </si>
  <si>
    <t>HELEN KAMINSKI</t>
    <phoneticPr fontId="18"/>
  </si>
  <si>
    <t>HUBSCH</t>
    <phoneticPr fontId="18"/>
  </si>
  <si>
    <t>2018.2.9</t>
    <phoneticPr fontId="18"/>
  </si>
  <si>
    <t>bonpoint</t>
    <phoneticPr fontId="18"/>
  </si>
  <si>
    <t>caramel</t>
    <phoneticPr fontId="18"/>
  </si>
  <si>
    <t>/fs/lilietnene/c/bonpoint18ss</t>
  </si>
  <si>
    <t>/fs/lilietnene/c/bonpoint18ss</t>
    <phoneticPr fontId="18"/>
  </si>
  <si>
    <t>/fs/lilietnene/c/caramel18ss</t>
    <phoneticPr fontId="18"/>
  </si>
  <si>
    <t>BONPOINT</t>
    <phoneticPr fontId="18"/>
  </si>
  <si>
    <t>春が待ち遠しくなるHELEN KAMINSKIのラフィアハットとバッグが新着！</t>
    <phoneticPr fontId="18"/>
  </si>
  <si>
    <t>HELEN KAMINSKI</t>
    <phoneticPr fontId="18"/>
  </si>
  <si>
    <t>BONPOINT秋冬アイテムがさらにプライスダウン！40%OFFに！</t>
    <phoneticPr fontId="18"/>
  </si>
  <si>
    <t>BONPOINT</t>
    <phoneticPr fontId="18"/>
  </si>
  <si>
    <t>SENGERから人気のぬいぐるみやポーチが再入荷！新登場のアイテムも！</t>
    <phoneticPr fontId="18"/>
  </si>
  <si>
    <t>SENGER</t>
    <phoneticPr fontId="18"/>
  </si>
  <si>
    <t>CARAMEL</t>
    <phoneticPr fontId="18"/>
  </si>
  <si>
    <t>POLDER</t>
    <phoneticPr fontId="18"/>
  </si>
  <si>
    <t>/fs/lilietnene/c/caramel18ss</t>
    <phoneticPr fontId="18"/>
  </si>
  <si>
    <t>/fs/lilietnene/c/polder18ss</t>
  </si>
  <si>
    <t>/fs/lilietnene/c/polder18ss</t>
    <phoneticPr fontId="18"/>
  </si>
  <si>
    <t>/fs/lilietnene/c/toy-senger</t>
  </si>
  <si>
    <t>/fs/lilietnene/c/toy-senger</t>
    <phoneticPr fontId="18"/>
  </si>
  <si>
    <t>/fs/lilietnene/c/helenkaminski18ss</t>
    <phoneticPr fontId="18"/>
  </si>
  <si>
    <t>/fs/lilietnene/c/bonpoint17aw</t>
  </si>
  <si>
    <t>/fs/lilietnene/c/bonpoint17aw</t>
    <phoneticPr fontId="18"/>
  </si>
  <si>
    <t>index.arrivals.4.category</t>
  </si>
  <si>
    <t>index.arrivals.4.update</t>
  </si>
  <si>
    <t>index.arrivals.4.summary</t>
  </si>
  <si>
    <t>index.arrivals.4.img</t>
  </si>
  <si>
    <t>index.arrivals.4.url</t>
  </si>
  <si>
    <t>index.arrivals.4.alt</t>
  </si>
  <si>
    <t>index.arrivals.5.category</t>
  </si>
  <si>
    <t>index.arrivals.5.update</t>
  </si>
  <si>
    <t>index.arrivals.5.summary</t>
  </si>
  <si>
    <t>index.arrivals.5.img</t>
  </si>
  <si>
    <t>index.arrivals.5.url</t>
  </si>
  <si>
    <t>index.arrivals.5.alt</t>
  </si>
  <si>
    <t>index.brands.0.kana</t>
  </si>
  <si>
    <t>index.brands.0.description</t>
  </si>
  <si>
    <t>0 BONPOINT</t>
  </si>
  <si>
    <t>index.brands.0.current</t>
  </si>
  <si>
    <t>index.brands.1.kana</t>
  </si>
  <si>
    <t>index.brands.1.description</t>
  </si>
  <si>
    <t>1 CARAMEL</t>
  </si>
  <si>
    <t>index.brands.1.current</t>
  </si>
  <si>
    <t>index.brands.2.kana</t>
  </si>
  <si>
    <t>index.brands.2.description</t>
  </si>
  <si>
    <t>オーガニック素材のSENGERのぬいぐるみは贈り物にも人気の定番アイテム</t>
  </si>
  <si>
    <t>2 SENGER</t>
  </si>
  <si>
    <t>index.brands.2.current</t>
  </si>
  <si>
    <t>index.brands.3.kana</t>
  </si>
  <si>
    <t>index.brands.3.description</t>
  </si>
  <si>
    <t>3 POLDER</t>
  </si>
  <si>
    <t>index.brands.3.current</t>
  </si>
  <si>
    <t>index.brands.4.kana</t>
  </si>
  <si>
    <t>index.brands.4.description</t>
  </si>
  <si>
    <t>高いデザイン性、丸めてもOKなラフィアハットが人気のヘレンカミンスキー</t>
  </si>
  <si>
    <t>4 HELEN KAMINSKI</t>
  </si>
  <si>
    <t>index.brands.4.current</t>
  </si>
  <si>
    <t>index.brands.5.kana</t>
  </si>
  <si>
    <t>index.brands.5.description</t>
  </si>
  <si>
    <t>スタイリッシュな北欧のインテリアブランド「ヒュプシュ」</t>
  </si>
  <si>
    <t>5 HUBSCH</t>
  </si>
  <si>
    <t>index.brands.5.current</t>
  </si>
  <si>
    <t>CARAMEL</t>
    <phoneticPr fontId="18"/>
  </si>
  <si>
    <t>2018 Spring Summer</t>
  </si>
  <si>
    <t>2018 Spring Summer</t>
    <phoneticPr fontId="18"/>
  </si>
  <si>
    <t>BONPOINT</t>
    <phoneticPr fontId="18"/>
  </si>
  <si>
    <t>2018 SS Coming Soon！</t>
  </si>
  <si>
    <t>2018 SS Coming Soon！</t>
    <phoneticPr fontId="18"/>
  </si>
  <si>
    <t>18SS</t>
    <phoneticPr fontId="18"/>
  </si>
  <si>
    <t>bonpoint</t>
    <phoneticPr fontId="18"/>
  </si>
  <si>
    <t>helenkaminski</t>
    <phoneticPr fontId="18"/>
  </si>
  <si>
    <t>first-slide</t>
    <phoneticPr fontId="18"/>
  </si>
  <si>
    <t>position</t>
    <phoneticPr fontId="18"/>
  </si>
  <si>
    <t>index.carousel.0.current</t>
  </si>
  <si>
    <t>index.carousel.0.position</t>
  </si>
  <si>
    <t>index.carousel.1.current</t>
  </si>
  <si>
    <t>index.carousel.1.position</t>
  </si>
  <si>
    <t>index.carousel.2.current</t>
  </si>
  <si>
    <t>index.carousel.2.position</t>
  </si>
  <si>
    <t>left</t>
    <phoneticPr fontId="18"/>
  </si>
  <si>
    <t>right</t>
    <phoneticPr fontId="18"/>
  </si>
  <si>
    <t>BONPOINT 18SS</t>
  </si>
  <si>
    <t>BONPOINT 18SS</t>
    <phoneticPr fontId="18"/>
  </si>
  <si>
    <t>18SS</t>
    <phoneticPr fontId="18"/>
  </si>
  <si>
    <t>18SS</t>
    <phoneticPr fontId="18"/>
  </si>
  <si>
    <t>left</t>
  </si>
  <si>
    <t>right</t>
  </si>
  <si>
    <t xml:space="preserve">BONPOINT 18SS </t>
  </si>
</sst>
</file>

<file path=xl/styles.xml><?xml version="1.0" encoding="utf-8"?>
<styleSheet xmlns="http://schemas.openxmlformats.org/spreadsheetml/2006/main" xmlns:mc="http://schemas.openxmlformats.org/markup-compatibility/2006" xmlns:x14ac="http://schemas.microsoft.com/office/spreadsheetml/2009/9/ac" mc:Ignorable="x14ac">
  <fonts count="26">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sz val="11"/>
      <color theme="1"/>
      <name val="ＭＳ Ｐゴシック"/>
      <family val="3"/>
      <charset val="128"/>
      <scheme val="minor"/>
    </font>
    <font>
      <sz val="11"/>
      <name val="ＭＳ Ｐゴシック"/>
      <family val="2"/>
      <charset val="128"/>
      <scheme val="minor"/>
    </font>
    <font>
      <sz val="11"/>
      <name val="ＭＳ Ｐゴシック"/>
      <family val="3"/>
      <charset val="128"/>
      <scheme val="minor"/>
    </font>
    <font>
      <sz val="11"/>
      <color rgb="FF0070C0"/>
      <name val="ＭＳ Ｐゴシック"/>
      <family val="2"/>
      <charset val="128"/>
      <scheme val="minor"/>
    </font>
    <font>
      <sz val="11"/>
      <color rgb="FF0070C0"/>
      <name val="ＭＳ Ｐゴシック"/>
      <family val="3"/>
      <charset val="128"/>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19" fillId="0" borderId="0" applyNumberFormat="0" applyFill="0" applyBorder="0" applyAlignment="0" applyProtection="0">
      <alignment vertical="center"/>
    </xf>
  </cellStyleXfs>
  <cellXfs count="13">
    <xf numFmtId="0" fontId="0" fillId="0" borderId="0" xfId="0">
      <alignment vertical="center"/>
    </xf>
    <xf numFmtId="0" fontId="19" fillId="0" borderId="0" xfId="42">
      <alignment vertical="center"/>
    </xf>
    <xf numFmtId="0" fontId="20" fillId="0" borderId="0" xfId="0" applyFont="1">
      <alignment vertical="center"/>
    </xf>
    <xf numFmtId="0" fontId="21" fillId="0" borderId="0" xfId="0" applyFont="1">
      <alignment vertical="center"/>
    </xf>
    <xf numFmtId="0" fontId="14" fillId="0" borderId="0" xfId="0" applyFont="1">
      <alignment vertical="center"/>
    </xf>
    <xf numFmtId="0" fontId="22" fillId="0" borderId="0" xfId="0" applyFont="1">
      <alignment vertical="center"/>
    </xf>
    <xf numFmtId="0" fontId="23" fillId="0" borderId="0" xfId="0" applyFont="1">
      <alignment vertical="center"/>
    </xf>
    <xf numFmtId="0" fontId="0" fillId="0" borderId="0" xfId="0" applyAlignment="1">
      <alignment vertical="center"/>
    </xf>
    <xf numFmtId="0" fontId="22" fillId="0" borderId="0" xfId="42" applyFont="1">
      <alignment vertical="center"/>
    </xf>
    <xf numFmtId="14" fontId="0" fillId="0" borderId="0" xfId="0" applyNumberFormat="1">
      <alignment vertical="center"/>
    </xf>
    <xf numFmtId="0" fontId="0" fillId="0" borderId="0" xfId="0" applyAlignment="1">
      <alignment vertical="center" wrapText="1"/>
    </xf>
    <xf numFmtId="0" fontId="24" fillId="0" borderId="0" xfId="42" applyFont="1">
      <alignment vertical="center"/>
    </xf>
    <xf numFmtId="0" fontId="25" fillId="0" borderId="0" xfId="42"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W:\08_BRAND\&#30331;&#37682;&#29992;&#65306;&#36890;&#36009;&#12377;&#12427;&#34101;CSV\&#12486;&#12531;&#12503;&#12524;&#12540;&#12488;&#38283;&#30330;\db_bran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_season"/>
      <sheetName val="list"/>
      <sheetName val="db_brand"/>
      <sheetName val="db_supplier"/>
      <sheetName val="ブランド接頭参照用"/>
      <sheetName val="文字数確認"/>
      <sheetName val="※旧db_brandcode"/>
      <sheetName val="※旧db_brand"/>
      <sheetName val="20180202_status"/>
      <sheetName val="Sheet1"/>
    </sheetNames>
    <sheetDataSet>
      <sheetData sheetId="0"/>
      <sheetData sheetId="1">
        <row r="1">
          <cell r="A1" t="str">
            <v>ブランド名</v>
          </cell>
          <cell r="B1" t="str">
            <v>フリガナ</v>
          </cell>
          <cell r="C1" t="str">
            <v>接頭</v>
          </cell>
          <cell r="D1" t="str">
            <v>URLパス</v>
          </cell>
          <cell r="E1" t="str">
            <v>file名</v>
          </cell>
          <cell r="F1" t="str">
            <v>ブランド説明</v>
          </cell>
          <cell r="G1" t="str">
            <v>Key word</v>
          </cell>
          <cell r="H1" t="str">
            <v>ブランドコード</v>
          </cell>
          <cell r="I1" t="str">
            <v>仕入れ先コード</v>
          </cell>
          <cell r="J1" t="str">
            <v>仕入れ先</v>
          </cell>
          <cell r="K1" t="str">
            <v>カテゴリ</v>
          </cell>
          <cell r="L1" t="str">
            <v>原価率</v>
          </cell>
          <cell r="M1" t="str">
            <v>URL</v>
          </cell>
          <cell r="N1" t="str">
            <v>ジャンル</v>
          </cell>
          <cell r="O1" t="str">
            <v>カテゴリー：BABY</v>
          </cell>
          <cell r="P1" t="str">
            <v>カテゴリー：KIDS</v>
          </cell>
          <cell r="Q1" t="str">
            <v>カテゴリー：TEEN</v>
          </cell>
          <cell r="R1" t="str">
            <v>カテゴリー:WOMAN</v>
          </cell>
          <cell r="S1" t="str">
            <v>カテゴリー:GOODS</v>
          </cell>
          <cell r="T1" t="str">
            <v>カテゴリー:TOY</v>
          </cell>
          <cell r="U1" t="str">
            <v>サブカテゴリー</v>
          </cell>
          <cell r="V1" t="str">
            <v>Description SEO</v>
          </cell>
          <cell r="W1" t="str">
            <v>最新シーズン</v>
          </cell>
          <cell r="X1" t="str">
            <v>取扱い状況</v>
          </cell>
          <cell r="Y1" t="str">
            <v>備考</v>
          </cell>
          <cell r="Z1" t="str">
            <v>一行商品説明</v>
          </cell>
          <cell r="AA1" t="str">
            <v>priority in children</v>
          </cell>
          <cell r="AB1" t="str">
            <v>priority in woman</v>
          </cell>
          <cell r="AC1" t="str">
            <v>priority in goods</v>
          </cell>
        </row>
        <row r="2">
          <cell r="A2" t="str">
            <v>ALBUM DI FAMIGLIA</v>
          </cell>
          <cell r="B2" t="str">
            <v>アルバム ディ　ファミリア</v>
          </cell>
          <cell r="C2" t="str">
            <v>af</v>
          </cell>
          <cell r="D2" t="str">
            <v>albumdifamiglia</v>
          </cell>
          <cell r="E2" t="str">
            <v>albumdifamiglia</v>
          </cell>
          <cell r="F2" t="str">
            <v>イタリアの子供服ブランド「ALBUM DI FAMIGLIA（アルバム ディ ファミリア）」。現代的でミニマルなデザインと上質なコットンの肌触りが好評をうけ、イタリアをはじめヨーロッパで人気を集めています。</v>
          </cell>
          <cell r="G2" t="str">
            <v>ALBUM DI FAMIGLIA, アルバム ディ ファミリア,イタリア,ベビー服,出産祝い,シンプル,ミニマルデザイン,高品質,通販</v>
          </cell>
          <cell r="H2" t="str">
            <v>00001'</v>
          </cell>
          <cell r="I2">
            <v>503</v>
          </cell>
          <cell r="J2" t="str">
            <v>ALBUM DI FAMIGLIA</v>
          </cell>
          <cell r="K2" t="str">
            <v>fashion brands/A/ALBUM DI FAMIGLIA（アルバム ディ ファミリア）</v>
          </cell>
          <cell r="L2" t="str">
            <v/>
          </cell>
          <cell r="M2" t="str">
            <v>http://www.lilietnene.com/fs/lilietnene/c/albumdifamiglia/</v>
          </cell>
          <cell r="N2" t="str">
            <v>ベビー・キッズウエア</v>
          </cell>
          <cell r="O2" t="str">
            <v>BABY</v>
          </cell>
          <cell r="P2" t="str">
            <v>KIDS</v>
          </cell>
          <cell r="U2" t="str">
            <v>ウエア</v>
          </cell>
          <cell r="X2" t="str">
            <v/>
          </cell>
          <cell r="Z2" t="str">
            <v>現代的でミニマルなデザインと上質なコットンの肌触りが人気</v>
          </cell>
          <cell r="AA2" t="str">
            <v>1004033</v>
          </cell>
          <cell r="AB2" t="str">
            <v/>
          </cell>
          <cell r="AC2" t="str">
            <v/>
          </cell>
        </row>
        <row r="3">
          <cell r="A3" t="str">
            <v>AMERICAN OUTFITTERS</v>
          </cell>
          <cell r="B3" t="str">
            <v>アメリカンアウトフィッターズ</v>
          </cell>
          <cell r="C3" t="str">
            <v>ao</v>
          </cell>
          <cell r="D3" t="str">
            <v>ao</v>
          </cell>
          <cell r="E3" t="str">
            <v>ao</v>
          </cell>
          <cell r="F3" t="str">
            <v>ベルギーのブランド、「AMERICAN OUTFITTERS（アメリカン・アウトフィッターズ）」はベルギーから見たアメリカンカジュアルスタイルがコンセプト。独特の色味とデザインの個性豊かなアイテムが魅力です。</v>
          </cell>
          <cell r="G3" t="str">
            <v>AMERICAN OUTFITTERS,アメリカンアウトフィッターズ,ベルギー,子供服,カジュアル,お洒落,通販</v>
          </cell>
          <cell r="H3" t="str">
            <v>00011'</v>
          </cell>
          <cell r="I3">
            <v>500</v>
          </cell>
          <cell r="J3" t="str">
            <v>AMERICAN OUTFITTERS</v>
          </cell>
          <cell r="K3" t="str">
            <v>fashion brands/A/AMERICAN OUTFITTERS（アメリカンアウトフィッターズ）</v>
          </cell>
          <cell r="L3">
            <v>0.6</v>
          </cell>
          <cell r="M3" t="str">
            <v>http://www.lilietnene.com/fs/lilietnene/c/ao/</v>
          </cell>
          <cell r="N3" t="str">
            <v>キッズウエア</v>
          </cell>
          <cell r="P3" t="str">
            <v>KIDS</v>
          </cell>
          <cell r="U3" t="str">
            <v>ウエア</v>
          </cell>
          <cell r="X3" t="str">
            <v/>
          </cell>
          <cell r="Z3" t="str">
            <v>ベルギーから見たアメリカンカジュアルスタイルがコンセプト</v>
          </cell>
          <cell r="AA3" t="str">
            <v>1004034</v>
          </cell>
          <cell r="AB3" t="str">
            <v/>
          </cell>
          <cell r="AC3" t="str">
            <v/>
          </cell>
        </row>
        <row r="4">
          <cell r="A4" t="str">
            <v>ANNIEL</v>
          </cell>
          <cell r="B4" t="str">
            <v>アニエル</v>
          </cell>
          <cell r="C4" t="str">
            <v>ae</v>
          </cell>
          <cell r="D4" t="str">
            <v>anniel</v>
          </cell>
          <cell r="E4" t="str">
            <v>anniel</v>
          </cell>
          <cell r="F4" t="str">
            <v>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v>
          </cell>
          <cell r="G4" t="str">
            <v>ANNIEL,アニエル,イタリア,シューズ,バレエシューズ,レースアップシューズ,スポーツ,キッズ,レディース,通販</v>
          </cell>
          <cell r="H4" t="str">
            <v>'00010'</v>
          </cell>
          <cell r="I4">
            <v>121</v>
          </cell>
          <cell r="J4" t="str">
            <v>株式会社シャーロックホームズ</v>
          </cell>
          <cell r="K4" t="str">
            <v>fashion brands/A/ANNIEL（アニエル）</v>
          </cell>
          <cell r="L4">
            <v>0.56999999999999995</v>
          </cell>
          <cell r="M4" t="str">
            <v>http://www.lilietnene.com/fs/lilietnene/c/anniel/</v>
          </cell>
          <cell r="N4" t="str">
            <v>レディースシューズ</v>
          </cell>
          <cell r="Q4" t="str">
            <v>TEEN</v>
          </cell>
          <cell r="R4" t="str">
            <v>WOMAN</v>
          </cell>
          <cell r="U4" t="str">
            <v>シューズ</v>
          </cell>
          <cell r="X4" t="str">
            <v/>
          </cell>
          <cell r="Z4" t="str">
            <v>機能性や履き心地とともに、女性的でしなやかなフォルムが魅力</v>
          </cell>
          <cell r="AA4" t="str">
            <v/>
          </cell>
          <cell r="AB4" t="str">
            <v>2005042</v>
          </cell>
          <cell r="AC4" t="str">
            <v/>
          </cell>
        </row>
        <row r="5">
          <cell r="A5" t="str">
            <v>ANNE-CLAIRE PETIT</v>
          </cell>
          <cell r="B5" t="str">
            <v>アンクレールプティ</v>
          </cell>
          <cell r="C5" t="str">
            <v>ac</v>
          </cell>
          <cell r="D5" t="str">
            <v>anneclairepetit</v>
          </cell>
          <cell r="E5" t="str">
            <v>anneclairpetit</v>
          </cell>
          <cell r="F5" t="str">
            <v>オランダのデザイナーが展開するブランド「ANNE-CLAIR PETIT（アンクレール・プチ）」。独特なカラフルなカラーバリエーションや素朴の中にもトレンドが感じられるデザイン、そして手作りならではの優しい風合いが人気を集めています。</v>
          </cell>
          <cell r="G5" t="str">
            <v>アンクレール・プティ,anne-clair petit,anne claire petit,インテリア雑貨,フランス雑貨,プティ,アンクレール,オランダデザイン,オーガニックコットン,ヨーロッパ安全基準,ＣＥ,安全基準ＣＥ,CE Marking,CEマーキング,シーイーマーキング</v>
          </cell>
          <cell r="H5" t="str">
            <v>'00008'</v>
          </cell>
          <cell r="I5">
            <v>504</v>
          </cell>
          <cell r="J5" t="str">
            <v>ANNE-CLAIRE PETIT</v>
          </cell>
          <cell r="K5" t="str">
            <v>toy brands/ANNE-CLAIRE PETIT（アンクレール・プティ）</v>
          </cell>
          <cell r="L5" t="str">
            <v/>
          </cell>
          <cell r="M5" t="str">
            <v>http://www.lilietnene.com/fs/lilietnene/c/anneclairpetit/</v>
          </cell>
          <cell r="N5" t="str">
            <v>ベビー玩具</v>
          </cell>
          <cell r="S5" t="str">
            <v>GOODS</v>
          </cell>
          <cell r="T5" t="str">
            <v>TOY</v>
          </cell>
          <cell r="U5" t="str">
            <v>玩具</v>
          </cell>
          <cell r="X5" t="str">
            <v/>
          </cell>
          <cell r="Z5" t="str">
            <v>明るい色使いと手作りならではの優しい風合いが人気</v>
          </cell>
          <cell r="AA5" t="str">
            <v/>
          </cell>
          <cell r="AB5" t="str">
            <v/>
          </cell>
          <cell r="AC5" t="str">
            <v>9003003</v>
          </cell>
        </row>
        <row r="6">
          <cell r="A6" t="str">
            <v>ANTIK BATIK</v>
          </cell>
          <cell r="B6" t="str">
            <v>アンティック・バティック</v>
          </cell>
          <cell r="C6" t="str">
            <v>ab</v>
          </cell>
          <cell r="D6" t="str">
            <v>antikbatik</v>
          </cell>
          <cell r="E6" t="str">
            <v>antikbatik</v>
          </cell>
          <cell r="F6" t="str">
            <v>デザイナーが世界を旅して出会った各国の民族衣装からインスパイアされた刺繍や染色、ビーズデザインが特徴的な「ANTIK BATIK（アンティックバティック）」。様々な要素をミックスしたデザインはエレガントなフレンチエスニックテイストを表現しています。</v>
          </cell>
          <cell r="G6" t="str">
            <v>ANTIK BATIK,アンティック・バティック,パリ,エスニック,人気,ビビッド,通販</v>
          </cell>
          <cell r="H6" t="str">
            <v>'00006'</v>
          </cell>
          <cell r="I6">
            <v>505</v>
          </cell>
          <cell r="J6" t="str">
            <v>ANTIK BATIK</v>
          </cell>
          <cell r="K6" t="str">
            <v>fashion brands/A/ANTIK BATIK（アンティック・バティック）</v>
          </cell>
          <cell r="L6">
            <v>0.4</v>
          </cell>
          <cell r="M6" t="str">
            <v>http://www.lilietnene.com/fs/lilietnene/c/antikbatik/</v>
          </cell>
          <cell r="N6" t="str">
            <v>キッズウエア</v>
          </cell>
          <cell r="P6" t="str">
            <v>KIDS</v>
          </cell>
          <cell r="U6" t="str">
            <v>ウエア</v>
          </cell>
          <cell r="W6"/>
          <cell r="X6" t="str">
            <v>無し</v>
          </cell>
        </row>
        <row r="7">
          <cell r="A7" t="str">
            <v>ATSUYO ET AKIKO</v>
          </cell>
          <cell r="B7" t="str">
            <v>アツヨ エ アキコ</v>
          </cell>
          <cell r="C7" t="str">
            <v>aa</v>
          </cell>
          <cell r="D7" t="str">
            <v>atsuyoetakiko</v>
          </cell>
          <cell r="E7" t="str">
            <v>atsuyoetakiko</v>
          </cell>
          <cell r="F7" t="str">
            <v>ニューヨーク、ブルックリンを拠点に活動する日本人のデザイナーユニット「ATSUYO ET AKIKO（アツヨ エ アキコ）」。日常のアイテムをプリントとイラストでストーリー性のあるアイテムに仕上げています。アクセサリーや洋服、人形などが人気です。</v>
          </cell>
          <cell r="G7" t="str">
            <v>ATSUYO ET AKIKO,アツヨ エ アキコ,ニューヨーク,NY,日本人デザイナー,disney,クッション,アクセサリー,キッズ,通販</v>
          </cell>
          <cell r="H7" t="str">
            <v>'00007'</v>
          </cell>
          <cell r="I7">
            <v>507</v>
          </cell>
          <cell r="J7" t="str">
            <v>ATSUYO ET AKIKO</v>
          </cell>
          <cell r="K7" t="str">
            <v>fashion brands/A/ATSUYO ET AKIKO（アツヨ エ アキコ）</v>
          </cell>
          <cell r="L7">
            <v>0.45</v>
          </cell>
          <cell r="M7" t="str">
            <v>http://www.lilietnene.com/fs/lilietnene/c/atsuyoetakiko/</v>
          </cell>
          <cell r="N7" t="str">
            <v>キッズアクセサリー・ウエア</v>
          </cell>
          <cell r="P7" t="str">
            <v>KIDS</v>
          </cell>
          <cell r="S7" t="str">
            <v>GOODS</v>
          </cell>
          <cell r="U7" t="str">
            <v>ウエア・雑貨</v>
          </cell>
          <cell r="W7"/>
          <cell r="X7" t="str">
            <v>無し</v>
          </cell>
        </row>
        <row r="8">
          <cell r="A8" t="str">
            <v>APOLLINE</v>
          </cell>
          <cell r="B8" t="str">
            <v>アポリーヌ</v>
          </cell>
          <cell r="C8" t="str">
            <v>al</v>
          </cell>
          <cell r="D8" t="str">
            <v>apolline</v>
          </cell>
          <cell r="E8" t="str">
            <v>apolline</v>
          </cell>
          <cell r="F8" t="str">
            <v>パリで人気のアーティスト、アポリーヌ・マルカ。彼女が作り出す作品はすべて手作りで、１つ１つ個性的でファンタジックな世界観溢れるものばかりです。</v>
          </cell>
          <cell r="G8" t="str">
            <v>アポリーヌ,apolline,apolline dolls,アポリーヌ・マルカ</v>
          </cell>
          <cell r="H8" t="str">
            <v>'00005'</v>
          </cell>
          <cell r="I8">
            <v>506</v>
          </cell>
          <cell r="J8" t="str">
            <v>APOLLINE</v>
          </cell>
          <cell r="K8" t="str">
            <v>zakka brands/APOLLINE（アポリーヌ）</v>
          </cell>
          <cell r="L8">
            <v>0.38</v>
          </cell>
          <cell r="M8" t="str">
            <v>http://www.lilietnene.com/fs/lilietnene/c/apolline/</v>
          </cell>
          <cell r="N8" t="str">
            <v>アート・オブジェ</v>
          </cell>
          <cell r="S8" t="str">
            <v>GOODS</v>
          </cell>
          <cell r="U8" t="str">
            <v>アート・オブジェ</v>
          </cell>
          <cell r="W8"/>
          <cell r="X8" t="str">
            <v/>
          </cell>
          <cell r="AA8" t="str">
            <v/>
          </cell>
          <cell r="AB8" t="str">
            <v/>
          </cell>
          <cell r="AC8" t="str">
            <v>9001010</v>
          </cell>
        </row>
        <row r="9">
          <cell r="A9" t="str">
            <v>APRIL SHOWERS</v>
          </cell>
          <cell r="B9" t="str">
            <v>エイプリルシャワーズ</v>
          </cell>
          <cell r="C9" t="str">
            <v>as</v>
          </cell>
          <cell r="D9" t="str">
            <v>aprilshowers</v>
          </cell>
          <cell r="E9" t="str">
            <v>aprilshowers</v>
          </cell>
          <cell r="F9" t="str">
            <v>マデロンとナタリーの姉妹が立ち上げたPOLDERのベビー＆キッズブランド「APRIL SHOWERS（エイプリルシャワーズ）」は、洗練されたやさしいフレンチシックな色使いとオランダ出身の２人ならではの可愛い北欧風パターンが人気です。</v>
          </cell>
          <cell r="G9" t="str">
            <v>APRIL SHOWERS,エイプリルシャワーズ,パリ,polder,アクセサリー,キッズ,ベビー,プレイマット,子供服,お洒落,シンプル,クッション,バッグ,通販</v>
          </cell>
          <cell r="H9" t="str">
            <v>'00009'</v>
          </cell>
          <cell r="I9">
            <v>539</v>
          </cell>
          <cell r="J9" t="str">
            <v>POLDER</v>
          </cell>
          <cell r="K9" t="str">
            <v>fashion brands/A/APRIL SHOWERS（エイプリルシャワーズ）</v>
          </cell>
          <cell r="L9">
            <v>0.6</v>
          </cell>
          <cell r="M9" t="str">
            <v>http://www.lilietnene.com/fs/lilietnene/c/aprilshowers/</v>
          </cell>
          <cell r="N9" t="str">
            <v>キッズアクセサリー・ウエア</v>
          </cell>
          <cell r="P9" t="str">
            <v>KIDS</v>
          </cell>
          <cell r="U9" t="str">
            <v>ウエア・雑貨</v>
          </cell>
          <cell r="W9"/>
          <cell r="X9" t="str">
            <v>無し</v>
          </cell>
        </row>
        <row r="10">
          <cell r="A10" t="str">
            <v>BABE&amp;TESS</v>
          </cell>
          <cell r="B10" t="str">
            <v>ベイブアンドテス</v>
          </cell>
          <cell r="C10" t="str">
            <v>ba</v>
          </cell>
          <cell r="D10" t="str">
            <v>babeandtess</v>
          </cell>
          <cell r="E10" t="str">
            <v>babeandtess</v>
          </cell>
          <cell r="F10" t="str">
            <v>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v>
          </cell>
          <cell r="G10" t="str">
            <v>BABE&amp;TESS,BABE AND TESS,ベイブアンドテス,ベイブ&amp;テス,イタリア製,子供服,子ども服,ベビー服,カジュアル,おしゃれ,通販,</v>
          </cell>
          <cell r="H10" t="str">
            <v>00114'</v>
          </cell>
          <cell r="I10">
            <v>565</v>
          </cell>
          <cell r="J10" t="str">
            <v>BABE&amp;TESS</v>
          </cell>
          <cell r="K10" t="str">
            <v>fashion brands/B/BABE&amp;TESS（ベイブアンドテス）</v>
          </cell>
          <cell r="L10" t="str">
            <v/>
          </cell>
          <cell r="M10" t="str">
            <v>http://www.lilietnene.com/fs/lilietnene/c/babeandtess/</v>
          </cell>
          <cell r="N10" t="str">
            <v>ベビー・キッズウエア</v>
          </cell>
          <cell r="O10" t="str">
            <v>BABY</v>
          </cell>
          <cell r="P10" t="str">
            <v>KIDS</v>
          </cell>
          <cell r="Q10"/>
          <cell r="R10"/>
          <cell r="S10"/>
          <cell r="T10"/>
          <cell r="U10" t="str">
            <v>ウエア</v>
          </cell>
          <cell r="V10" t="str">
            <v>$SHOP$はBABE&amp;TESSの正規販売通販サイトです。イタリア製にこだわり、着心地がよいアイテムが人気のベビー・キッズブランド、ベイブアンドテス。ちょっと甘さをプラスした洗練されたコレクションを展開。即日配送（一部地域）もご利用いただけます。</v>
          </cell>
          <cell r="X10" t="str">
            <v/>
          </cell>
          <cell r="Z10" t="str">
            <v>イタリアのベビー＆キッズブランド、ベイブアンドテス</v>
          </cell>
          <cell r="AA10" t="str">
            <v>1003023</v>
          </cell>
          <cell r="AB10" t="str">
            <v/>
          </cell>
          <cell r="AC10" t="str">
            <v/>
          </cell>
        </row>
        <row r="11">
          <cell r="A11" t="str">
            <v>BEAUMONT ORGANIC</v>
          </cell>
          <cell r="B11" t="str">
            <v>ボーモントオーガニック</v>
          </cell>
          <cell r="C11" t="str">
            <v>bo</v>
          </cell>
          <cell r="D11" t="str">
            <v>beaumont-o</v>
          </cell>
          <cell r="E11" t="str">
            <v>beaumont-o</v>
          </cell>
          <cell r="F11" t="str">
            <v>「BEAUMONT ORGANIC（ボーモント オーガニック）」は、イギリス人のハンナ・ニコルにより8枚の100％オーガニック コットン ジャージで作られた美しい2008SSコレクションから始まりました。</v>
          </cell>
          <cell r="G11" t="str">
            <v>BEAUMONT ORGANIC,ボーモントオーガニック,イギリス,オーガニックコットン,渡辺産業,ハンナ,ワンピース,カットソー,通販</v>
          </cell>
          <cell r="H11" t="str">
            <v>'00105'</v>
          </cell>
          <cell r="I11">
            <v>144</v>
          </cell>
          <cell r="J11" t="str">
            <v>渡辺産業株式会社</v>
          </cell>
          <cell r="K11" t="str">
            <v>fashion brands/B/BEAUMONT ORGANIC（ボーモントオーガニック）</v>
          </cell>
          <cell r="L11">
            <v>0.57999999999999996</v>
          </cell>
          <cell r="M11" t="str">
            <v>http://www.lilietnene.com/fs/lilietnene/c/beaumont-o/</v>
          </cell>
          <cell r="N11" t="str">
            <v>ボーモント オーガニック</v>
          </cell>
          <cell r="R11" t="str">
            <v>WOMAN</v>
          </cell>
          <cell r="U11" t="str">
            <v>ウエア</v>
          </cell>
          <cell r="X11" t="str">
            <v/>
          </cell>
          <cell r="Z11" t="str">
            <v>英国発、上質な素材にこだわった現代的なコレクション</v>
          </cell>
          <cell r="AA11" t="str">
            <v/>
          </cell>
          <cell r="AB11" t="str">
            <v>2002018</v>
          </cell>
          <cell r="AC11" t="str">
            <v/>
          </cell>
        </row>
        <row r="12">
          <cell r="A12" t="str">
            <v>BELLEROSE</v>
          </cell>
          <cell r="B12" t="str">
            <v>ベルローズ</v>
          </cell>
          <cell r="C12" t="str">
            <v>br</v>
          </cell>
          <cell r="D12" t="str">
            <v>bellerose</v>
          </cell>
          <cell r="E12" t="str">
            <v>bellerose</v>
          </cell>
          <cell r="F12" t="str">
            <v>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v>
          </cell>
          <cell r="G12" t="str">
            <v>BELLEROSE,ベルローズ,ベルギー,子供服,レディース服,カジュアル,オシャレ,ワンピース,男の子,ボーイズ,通販</v>
          </cell>
          <cell r="H12" t="str">
            <v>'00109'</v>
          </cell>
          <cell r="I12">
            <v>508</v>
          </cell>
          <cell r="J12" t="str">
            <v>BELLEROSE</v>
          </cell>
          <cell r="K12" t="str">
            <v>fashion brands/B/BELLEROSE（ベルローズ）</v>
          </cell>
          <cell r="L12" t="str">
            <v/>
          </cell>
          <cell r="M12" t="str">
            <v>http://www.lilietnene.com/fs/lilietnene/c/bellerose/</v>
          </cell>
          <cell r="N12" t="str">
            <v>キッズ・レディースウエア</v>
          </cell>
          <cell r="P12" t="str">
            <v>KIDS</v>
          </cell>
          <cell r="U12" t="str">
            <v>ウエア</v>
          </cell>
          <cell r="V12" t="str">
            <v>$SHOP$はBELLEROSEの正規販売通販サイトです。ベルギー発のキッズ&amp;レディースブランド。ヴィンテージファッションやワークウエアからインスピレーションを得た、時代に流されないスタイリッシュさが魅力。即日配送（一部地域）もご利用いただけます。</v>
          </cell>
          <cell r="X12" t="str">
            <v/>
          </cell>
          <cell r="Z12" t="str">
            <v>カジュアルなテイストが人気のベルローズ</v>
          </cell>
          <cell r="AA12" t="str">
            <v>1002014</v>
          </cell>
          <cell r="AB12" t="str">
            <v/>
          </cell>
          <cell r="AC12" t="str">
            <v/>
          </cell>
        </row>
        <row r="13">
          <cell r="A13" t="str">
            <v>BENSIMON</v>
          </cell>
          <cell r="B13" t="str">
            <v>ベンシモン</v>
          </cell>
          <cell r="C13" t="str">
            <v>bs</v>
          </cell>
          <cell r="D13" t="str">
            <v>bensimon</v>
          </cell>
          <cell r="E13" t="str">
            <v>bensimon</v>
          </cell>
          <cell r="F13" t="str">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ell>
          <cell r="G13" t="str">
            <v>BENSIMON,ベンシモン,フランス,スニーカー,コットン,スリッポン,キッズ,レディース,通販</v>
          </cell>
          <cell r="H13" t="str">
            <v>'00101'</v>
          </cell>
          <cell r="I13">
            <v>129</v>
          </cell>
          <cell r="J13" t="str">
            <v>株式会社ノーザンスカイ</v>
          </cell>
          <cell r="K13" t="str">
            <v>fashion brands/B/BENSIMON（ベンシモン）</v>
          </cell>
          <cell r="L13">
            <v>0.6</v>
          </cell>
          <cell r="M13" t="str">
            <v>http://www.lilietnene.com/fs/lilietnene/c/bensimon/</v>
          </cell>
          <cell r="N13" t="str">
            <v>キッズ・レディースシューズ</v>
          </cell>
          <cell r="P13" t="str">
            <v>KIDS</v>
          </cell>
          <cell r="R13" t="str">
            <v>WOMAN</v>
          </cell>
          <cell r="U13" t="str">
            <v>シューズ</v>
          </cell>
          <cell r="X13" t="str">
            <v/>
          </cell>
          <cell r="Z13" t="str">
            <v>パリジェンヌから愛されているスニーカーブランド、ベンシモン</v>
          </cell>
          <cell r="AA13" t="str">
            <v>1003024</v>
          </cell>
          <cell r="AB13" t="str">
            <v>2004032</v>
          </cell>
          <cell r="AC13" t="str">
            <v/>
          </cell>
        </row>
        <row r="14">
          <cell r="A14" t="str">
            <v>BIRKENSTOCK</v>
          </cell>
          <cell r="B14" t="str">
            <v>ビルケンシュトック</v>
          </cell>
          <cell r="C14" t="str">
            <v>bk</v>
          </cell>
          <cell r="D14" t="str">
            <v>birkenstock</v>
          </cell>
          <cell r="E14" t="str">
            <v>birkenstock</v>
          </cell>
          <cell r="F14" t="str">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ell>
          <cell r="G14" t="str">
            <v>BIRKENSTOCK,ビルケンシュトック,ドイツ,サンダル,ビルケン,セレブ,オシャレ,お洒落,ARIZONA,アリゾナ,通販</v>
          </cell>
          <cell r="H14" t="str">
            <v>'00102'</v>
          </cell>
          <cell r="I14">
            <v>145</v>
          </cell>
          <cell r="J14" t="str">
            <v>丹波屋株式会社</v>
          </cell>
          <cell r="K14" t="str">
            <v>fashion brands/B/BIRKENSTOCK（ビルケンシュトック）</v>
          </cell>
          <cell r="L14">
            <v>0.6</v>
          </cell>
          <cell r="M14" t="str">
            <v>http://www.lilietnene.com/fs/lilietnene/c/birkenstock/</v>
          </cell>
          <cell r="N14" t="str">
            <v>キッズ・レディースシューズ</v>
          </cell>
          <cell r="P14" t="str">
            <v>KIDS</v>
          </cell>
          <cell r="R14" t="str">
            <v>WOMAN</v>
          </cell>
          <cell r="U14" t="str">
            <v>シューズ</v>
          </cell>
          <cell r="X14" t="str">
            <v/>
          </cell>
          <cell r="Z14" t="str">
            <v>240年以上の歴史のあるドイツの靴ブランド</v>
          </cell>
          <cell r="AA14" t="str">
            <v>1004035</v>
          </cell>
          <cell r="AB14" t="str">
            <v>2004033</v>
          </cell>
          <cell r="AC14" t="str">
            <v/>
          </cell>
        </row>
        <row r="15">
          <cell r="A15" t="str">
            <v>BIOBU BY EKOBO</v>
          </cell>
          <cell r="B15" t="str">
            <v>ビオブ バイ エコボ</v>
          </cell>
          <cell r="C15" t="str">
            <v>be</v>
          </cell>
          <cell r="D15" t="str">
            <v>biobubyekobo</v>
          </cell>
          <cell r="E15" t="str">
            <v>biobubyekobo</v>
          </cell>
          <cell r="F15" t="str">
            <v>EKOBO（エコボ）は、再生可能である天然素材、竹を使いデザインから製造の過程までをエコフレンドリーであることをコンセプトにしたホームアクセサリーや雑貨のブランド。モダンデザインと、職人の技を融合させ、ローカルからコミュニティーづくりに役立てている。</v>
          </cell>
          <cell r="G15" t="str">
            <v>ekobo,エコボ,BIOBU,ビオブ,食器,プレート,カフェプレート,ボウル,お皿,ビオブバイエコボ,雑貨,おしゃれ雑貨,キャンプ 皿,バーベキュー プレート,フランス雑貨,竹製品,天然素材,フェアトレード,雑貨 通販</v>
          </cell>
          <cell r="H15" t="str">
            <v>00113'</v>
          </cell>
          <cell r="I15">
            <v>149</v>
          </cell>
          <cell r="J15" t="str">
            <v xml:space="preserve">株式会社マークスインターナショナル </v>
          </cell>
          <cell r="K15" t="str">
            <v>zakka brands/BIOBU BY EKOBO（ビオブ バイ エコボ）</v>
          </cell>
          <cell r="L15">
            <v>0.6</v>
          </cell>
          <cell r="M15" t="str">
            <v>http://www.lilietnene.com/fs/lilietnene/c/biobubyekobo/</v>
          </cell>
          <cell r="N15" t="str">
            <v>ライフスタイル雑貨</v>
          </cell>
          <cell r="S15" t="str">
            <v>GOODS</v>
          </cell>
          <cell r="U15" t="str">
            <v>キッチン雑貨</v>
          </cell>
          <cell r="X15" t="str">
            <v/>
          </cell>
          <cell r="Z15" t="str">
            <v>エコでおしゃれなフランスの食器、ビオブ バイ エコボ</v>
          </cell>
          <cell r="AA15" t="str">
            <v/>
          </cell>
          <cell r="AB15" t="str">
            <v/>
          </cell>
          <cell r="AC15" t="str">
            <v>9001007</v>
          </cell>
        </row>
        <row r="16">
          <cell r="A16" t="str">
            <v>BONPOINT</v>
          </cell>
          <cell r="B16" t="str">
            <v>ボンポワン</v>
          </cell>
          <cell r="C16" t="str">
            <v>bp</v>
          </cell>
          <cell r="D16" t="str">
            <v>bonpoint</v>
          </cell>
          <cell r="E16" t="str">
            <v>bonpoint</v>
          </cell>
          <cell r="F16" t="str">
            <v>フランスのパリを拠点に、ヨーロッパ、世界中のセレブから愛されている老舗子供服ブランド『BONPOINT（ボンポワン）』。高品質の素材とシンプルな中にもディテールまでこだわった作りが人気を集めています。</v>
          </cell>
          <cell r="G16" t="str">
            <v>BONPOINT,ボンポワン,パリ,子供服,老舗,ベビー服,マリーフランスコーエン,merci,人気,通販,セール,sale,outlet,アウトレット,代官山</v>
          </cell>
          <cell r="H16" t="str">
            <v>'00103'</v>
          </cell>
          <cell r="I16">
            <v>134</v>
          </cell>
          <cell r="J16" t="str">
            <v>ボンポワンジャポン株式会社</v>
          </cell>
          <cell r="K16" t="str">
            <v>fashion brands/B/BONPOINT（ボンポワン）</v>
          </cell>
          <cell r="L16">
            <v>0.5</v>
          </cell>
          <cell r="M16" t="str">
            <v>http://www.lilietnene.com/fs/lilietnene/c/bonpoint/</v>
          </cell>
          <cell r="N16" t="str">
            <v>ベビー・キッズ・ティーンウエア</v>
          </cell>
          <cell r="O16" t="str">
            <v>BABY</v>
          </cell>
          <cell r="P16" t="str">
            <v>KIDS</v>
          </cell>
          <cell r="Q16" t="str">
            <v>TEEN</v>
          </cell>
          <cell r="R16" t="str">
            <v>WOMAN</v>
          </cell>
          <cell r="U16" t="str">
            <v>ウエア</v>
          </cell>
          <cell r="V16" t="str">
            <v>$SHOP$はBONPOINTの正規販売通販サイトです。世界中から注目を集めるパリの高級子供服ブランド、ボンポワン。品質のよさとディテールにこだわったデザインが人気。ベビー、キッズ、YAM（ティーン・レディース）が揃います。即日配送（一部地域）もご利用いただけます。</v>
          </cell>
          <cell r="X16" t="str">
            <v/>
          </cell>
          <cell r="Z16" t="str">
            <v>世界中から愛されているパリの老舗ブランド、ボンポワン</v>
          </cell>
          <cell r="AA16" t="str">
            <v>1001002</v>
          </cell>
          <cell r="AB16" t="str">
            <v>2001008</v>
          </cell>
          <cell r="AC16" t="str">
            <v/>
          </cell>
        </row>
        <row r="17">
          <cell r="A17" t="str">
            <v>BONTON</v>
          </cell>
          <cell r="B17" t="str">
            <v>ボントン</v>
          </cell>
          <cell r="C17" t="str">
            <v>bt</v>
          </cell>
          <cell r="D17" t="str">
            <v>bonton</v>
          </cell>
          <cell r="E17" t="str">
            <v>bonton</v>
          </cell>
          <cell r="F17" t="str">
            <v>パリで１番話題の子供ブティック『BONTON（ボントン）』。同じパリで有名なボンポワンのご子息が立ち上げたブランドで、ボンポワンよりカジュアルな雰囲気の子供服が人気。</v>
          </cell>
          <cell r="G17" t="str">
            <v>BONTON,ボントン,パリ,子供服,ベビー服,人気,子供のコンセプトショップ,カジュアル,通販,代官山</v>
          </cell>
          <cell r="H17" t="str">
            <v>'00104'</v>
          </cell>
          <cell r="I17">
            <v>509</v>
          </cell>
          <cell r="J17" t="str">
            <v>BONTON</v>
          </cell>
          <cell r="K17" t="str">
            <v>fashion brands/B/BONTON（ボントン）</v>
          </cell>
          <cell r="L17">
            <v>0.4</v>
          </cell>
          <cell r="M17" t="str">
            <v>http://www.lilietnene.com/fs/lilietnene/c/bonton/</v>
          </cell>
          <cell r="N17" t="str">
            <v>ベビー・キッズウエア</v>
          </cell>
          <cell r="O17" t="str">
            <v>BABY</v>
          </cell>
          <cell r="P17" t="str">
            <v>KIDS</v>
          </cell>
          <cell r="U17" t="str">
            <v>ウエア</v>
          </cell>
          <cell r="V17" t="str">
            <v>$SHOP$はBONTON（ボントン）の正規販売通販サイトです。パリで１番話題のキッズブランド・ボントン。パリのボンポワンよりカジュアルな雰囲気の子供服が人気のブランドです。即日配送（一部地域）もご利用いただけます。</v>
          </cell>
          <cell r="X17" t="str">
            <v/>
          </cell>
          <cell r="Z17" t="str">
            <v>パリで一番元気な子供服ブランド、ボントン</v>
          </cell>
          <cell r="AA17" t="str">
            <v>1001001</v>
          </cell>
          <cell r="AB17" t="str">
            <v/>
          </cell>
          <cell r="AC17" t="str">
            <v/>
          </cell>
        </row>
        <row r="18">
          <cell r="A18" t="str">
            <v>BREDEMEIJER</v>
          </cell>
          <cell r="B18" t="str">
            <v>ブリードマイヤー</v>
          </cell>
          <cell r="C18" t="str">
            <v>bm</v>
          </cell>
          <cell r="D18" t="str">
            <v>bredemeijer</v>
          </cell>
          <cell r="E18" t="str">
            <v>bredemeijer</v>
          </cell>
          <cell r="F18" t="str">
            <v>BREDEMEIJER（ブリードマイヤー）は、オランダのティーポットやコーヒーポットのブランド。セラミックやステンレスのポットは、美しいデザインとハイクオリティ、使い心地の良さがヨーロッパを始め世界中で人気を集めている。</v>
          </cell>
          <cell r="G18" t="str">
            <v>BREDEMEIJER、ブリードマイヤー、ブリードマイヤー正規取扱、ティーポット、オランダ製、お洒落なティーポット、ギフト、通販</v>
          </cell>
          <cell r="H18" t="str">
            <v>00112'</v>
          </cell>
          <cell r="I18">
            <v>556</v>
          </cell>
          <cell r="J18" t="str">
            <v>BREDEMEIJER</v>
          </cell>
          <cell r="K18" t="str">
            <v>zakka brands/BREDEMEIJER（ブリードマイヤー）</v>
          </cell>
          <cell r="M18" t="str">
            <v>http://www.lilietnene.com/fs/lilietnene/c/bredemeijer/</v>
          </cell>
          <cell r="N18" t="str">
            <v>ライフスタイル雑貨</v>
          </cell>
          <cell r="S18" t="str">
            <v>GOODS</v>
          </cell>
          <cell r="U18" t="str">
            <v>キッチン雑貨</v>
          </cell>
          <cell r="W18"/>
          <cell r="X18" t="str">
            <v>無し</v>
          </cell>
        </row>
        <row r="19">
          <cell r="A19" t="str">
            <v>BRIO</v>
          </cell>
          <cell r="B19" t="str">
            <v>ブリオ</v>
          </cell>
          <cell r="C19" t="str">
            <v>bi</v>
          </cell>
          <cell r="D19" t="str">
            <v>brio</v>
          </cell>
          <cell r="E19" t="str">
            <v>brio</v>
          </cell>
          <cell r="F19" t="str">
            <v>1884年にスウェーデンで創立された「BRIO（ブリオ）」は、最良質のブナ材で何世代に渡って楽しめる、あたたかく安心な木のオモチャを作り続けてきました。スウェーデン王室御用達としても有名です。</v>
          </cell>
          <cell r="G19" t="str">
            <v>brio,ブリオ,brio ブリオ,brio 積み木,brio おもちゃ,brio レール,ブリオ おもちゃ,ブリオ 手押し車,ブリオ 積み木,brio レールセット,ブリオ レール,ブリオ 木製レール,スウェーデン,スウェーデン王室ご用達,起き上がりドッグ,ソフトボールズ,ヒツジさんのストーリーブック,ベルラトル,マグネット式ブロック,マグネット式スタッキングトレイン</v>
          </cell>
          <cell r="H19" t="str">
            <v>'00107'</v>
          </cell>
          <cell r="I19">
            <v>133</v>
          </cell>
          <cell r="J19" t="str">
            <v>ブリオジャパン株式会社</v>
          </cell>
          <cell r="K19" t="str">
            <v>toy brands/BRIO（ブリオ）</v>
          </cell>
          <cell r="L19">
            <v>0</v>
          </cell>
          <cell r="M19" t="str">
            <v>http://www.lilietnene.com/fs/lilietnene/c/brio/</v>
          </cell>
          <cell r="N19" t="str">
            <v>ベビー・キッズ玩具</v>
          </cell>
          <cell r="S19" t="str">
            <v>GOODS</v>
          </cell>
          <cell r="T19" t="str">
            <v>TOY</v>
          </cell>
          <cell r="U19" t="str">
            <v>玩具</v>
          </cell>
          <cell r="W19"/>
          <cell r="X19" t="str">
            <v>無し</v>
          </cell>
        </row>
        <row r="20">
          <cell r="A20" t="str">
            <v>CARAMEL</v>
          </cell>
          <cell r="B20" t="str">
            <v>キャラメル</v>
          </cell>
          <cell r="C20" t="str">
            <v>ca</v>
          </cell>
          <cell r="D20" t="str">
            <v>caramel</v>
          </cell>
          <cell r="E20" t="str">
            <v>caramel</v>
          </cell>
          <cell r="F20" t="str">
            <v>子どもたちが気持ちよく着られるものをコンセプトに、クラシカルな中にもどこか新鮮でスタイリッシュなイメージをとり入れた個性的なコレクションを展開する、ロンドンのブランド『CARAMEL（キャラメル）』。</v>
          </cell>
          <cell r="G20" t="str">
            <v>CARAMEL BABY&amp;CHILD,キャラメル ベビー＆チャイルド,イギリス,ロンドン,ベビー服,子供服,代官山,通販,お洒落,CARAMEL,キャラメル</v>
          </cell>
          <cell r="H20" t="str">
            <v>'00201'</v>
          </cell>
          <cell r="I20">
            <v>117</v>
          </cell>
          <cell r="J20" t="str">
            <v>CARAMEL株式会社</v>
          </cell>
          <cell r="K20" t="str">
            <v>fashion brands/C/CARAMEL BABY&amp;CHILD（キャラメル ベビー＆チャイルド）</v>
          </cell>
          <cell r="L20">
            <v>0.56999999999999995</v>
          </cell>
          <cell r="M20" t="str">
            <v>http://www.lilietnene.com/fs/lilietnene/c/caramel/</v>
          </cell>
          <cell r="N20" t="str">
            <v>ベビー・キッズウエア</v>
          </cell>
          <cell r="O20" t="str">
            <v>BABY</v>
          </cell>
          <cell r="P20" t="str">
            <v>KIDS</v>
          </cell>
          <cell r="U20" t="str">
            <v>ウエア</v>
          </cell>
          <cell r="V20" t="str">
            <v>$SHOP$はCARAMEL（キャラメル）の正規販売通販サイトです。子どもたちが気持ちよく着られるものをコンセプトに、クラシカルな中にもどこか新鮮でスタイリッシュなイメージをとり入れた個性的なコレクションを展開する、ロンドンのブランド。即日配送（一部地域）もご利用いただけます。</v>
          </cell>
          <cell r="W20" t="str">
            <v>18SS</v>
          </cell>
          <cell r="X20" t="str">
            <v/>
          </cell>
          <cell r="Y20" t="str">
            <v>2017SSよりCARAMEL BABY&amp;CHILDからブランド名変更</v>
          </cell>
          <cell r="Z20" t="str">
            <v>英国の人気子供服ブランド、キャラメル</v>
          </cell>
          <cell r="AA20" t="str">
            <v>1001003</v>
          </cell>
          <cell r="AB20" t="str">
            <v/>
          </cell>
          <cell r="AC20" t="str">
            <v/>
          </cell>
        </row>
        <row r="21">
          <cell r="A21" t="str">
            <v>CARAMEL BABY&amp;CHILD</v>
          </cell>
          <cell r="B21" t="str">
            <v>キャラメル ベビー＆チャイルド</v>
          </cell>
          <cell r="C21" t="str">
            <v>ca</v>
          </cell>
          <cell r="D21" t="str">
            <v>caramel</v>
          </cell>
          <cell r="E21" t="str">
            <v>caramel</v>
          </cell>
          <cell r="F21" t="str">
            <v>英国の伝統的で上質な生地を現代的なスタイルがコンセプトのブランドCARAMEL（キャラメル）。落ち着いた色合いとエレガントでありながらくつろぎのスタイルを提案しています。&lt;br&gt;＊2016年より、「CARAMEL BABY&amp;CHILD（キャラメルベビーチャイルド）」からブランド名が変更になりました。</v>
          </cell>
          <cell r="G21" t="str">
            <v>CARAMEL BABY&amp;CHILD,キャラメル ベビー＆チャイルド,イギリス,ロンドン,ベビー服,子供服,代官山,通販,お洒落,CARAMEL,キャラメル</v>
          </cell>
          <cell r="H21" t="str">
            <v>'00201'</v>
          </cell>
          <cell r="I21">
            <v>117</v>
          </cell>
          <cell r="J21" t="str">
            <v>CARAMEL株式会社</v>
          </cell>
          <cell r="K21" t="str">
            <v>fashion brands/C/CARAMEL BABY&amp;CHILD（キャラメル ベビー＆チャイルド）</v>
          </cell>
          <cell r="L21">
            <v>0.56999999999999995</v>
          </cell>
          <cell r="M21" t="str">
            <v>http://www.lilietnene.com/fs/lilietnene/c/caramel/</v>
          </cell>
          <cell r="N21" t="str">
            <v>ベビー・キッズウエア</v>
          </cell>
          <cell r="O21" t="str">
            <v>BABY</v>
          </cell>
          <cell r="P21" t="str">
            <v>KIDS</v>
          </cell>
          <cell r="U21" t="str">
            <v>ウエア</v>
          </cell>
          <cell r="W21"/>
          <cell r="X21" t="str">
            <v>無し</v>
          </cell>
        </row>
        <row r="22">
          <cell r="A22" t="str">
            <v>CASTANER</v>
          </cell>
          <cell r="B22" t="str">
            <v>カスタニエール</v>
          </cell>
          <cell r="C22" t="str">
            <v>cn</v>
          </cell>
          <cell r="D22" t="str">
            <v>castaner</v>
          </cell>
          <cell r="E22" t="str">
            <v>castaner</v>
          </cell>
          <cell r="F22" t="str">
            <v>スペイン発、エスパドリーユの老舗ブランド「CASTANER（カスタニェール）」。 1810年のブランド創設以来、ジュードソールとキャンバスアッパーのエスパドリーユが多くの人から親しまれています</v>
          </cell>
          <cell r="G22" t="str">
            <v>CASTANER,カスタニエール,スペイン,エスパドリーユ,サンダル,通販,</v>
          </cell>
          <cell r="H22" t="str">
            <v>'00206'</v>
          </cell>
          <cell r="I22">
            <v>131</v>
          </cell>
          <cell r="J22" t="str">
            <v>有限会社ハイブリッジ・インターナショナル</v>
          </cell>
          <cell r="K22" t="str">
            <v>fashion brands/C/CASTANER（カスタニエール）</v>
          </cell>
          <cell r="L22">
            <v>0.56999999999999995</v>
          </cell>
          <cell r="M22" t="str">
            <v>http://www.lilietnene.com/fs/lilietnene/c/castaner/</v>
          </cell>
          <cell r="N22" t="str">
            <v>レディースシューズ</v>
          </cell>
          <cell r="R22" t="str">
            <v>WOMAN</v>
          </cell>
          <cell r="U22" t="str">
            <v>シューズ</v>
          </cell>
          <cell r="X22" t="str">
            <v/>
          </cell>
          <cell r="Z22" t="str">
            <v>スペインのエスパドリーユ老舗ブランド、カスタニェール</v>
          </cell>
          <cell r="AA22" t="str">
            <v/>
          </cell>
          <cell r="AB22" t="str">
            <v>2003026</v>
          </cell>
          <cell r="AC22" t="str">
            <v/>
          </cell>
        </row>
        <row r="23">
          <cell r="A23" t="str">
            <v>CECILE BOCCARA</v>
          </cell>
          <cell r="B23" t="str">
            <v>セシルボッカラ</v>
          </cell>
          <cell r="C23" t="str">
            <v>cb</v>
          </cell>
          <cell r="D23" t="str">
            <v>cecileboccara</v>
          </cell>
          <cell r="E23" t="str">
            <v>cecileboccara</v>
          </cell>
          <cell r="F23" t="str">
            <v>パリにアトリエを構え、世界中へコレクションを発表しているアクセサリーブランド「CECILE BOCCARA（セシルボッカラ）」。繊細かつ上品なデザインと美しい色使いで個性溢れるアイテムが特徴的です。</v>
          </cell>
          <cell r="G23" t="str">
            <v>cecile boccara,セシル・ボッカラ,neckless,ハンドメイドアクセサリー,パリ</v>
          </cell>
          <cell r="H23" t="str">
            <v>'00208'</v>
          </cell>
          <cell r="I23">
            <v>901</v>
          </cell>
          <cell r="J23" t="str">
            <v>海外仕入（過去）</v>
          </cell>
          <cell r="K23" t="str">
            <v>fashion brands/C/CECILE BOCCARA（セシルボッカラ）</v>
          </cell>
          <cell r="L23">
            <v>0.4</v>
          </cell>
          <cell r="M23" t="str">
            <v>http://www.lilietnene.com/fs/lilietnene/c/cecileboccara/</v>
          </cell>
          <cell r="N23" t="str">
            <v>レディースアクセサリー</v>
          </cell>
          <cell r="R23" t="str">
            <v>WOMAN</v>
          </cell>
          <cell r="U23" t="str">
            <v>アクセサリー</v>
          </cell>
          <cell r="X23" t="str">
            <v/>
          </cell>
          <cell r="Z23" t="str">
            <v>上質なシルクや天然素材を使用したハンドメイドのアクセサリー</v>
          </cell>
          <cell r="AA23" t="str">
            <v/>
          </cell>
          <cell r="AB23" t="str">
            <v>2003027</v>
          </cell>
          <cell r="AC23" t="str">
            <v/>
          </cell>
        </row>
        <row r="24">
          <cell r="A24" t="str">
            <v>CATTIER</v>
          </cell>
          <cell r="B24" t="str">
            <v>カティエ</v>
          </cell>
          <cell r="C24" t="str">
            <v>*ci</v>
          </cell>
          <cell r="D24" t="str">
            <v>cattier</v>
          </cell>
          <cell r="E24" t="str">
            <v>cattier</v>
          </cell>
          <cell r="F24" t="str">
            <v>1968年にPierre Cattierによってフランスで創設された「CATTIER（カティエ）」。自然素材をベースにした高品質で環境に害を及ぼすことのない安全な製品は多くのナチュラリストから高い支持を得ています。</v>
          </cell>
          <cell r="G24" t="str">
            <v>cattier,カティエ,cartie,オーガニック,オーガニック石けん,cartier france,石鹸 オーガニック,ベベリキッドソープ,ベベボディクリーム,ベベウォーター,カリテ　ピュアシアバター,カリテ　ピュアシアバター,BIOソープ　シアバター,BIOソープ　グリーンクレイ＆ラベンダーハニー,BIOボディ＆ヘアウォッシュ</v>
          </cell>
          <cell r="H24" t="str">
            <v>'00204'</v>
          </cell>
          <cell r="I24">
            <v>145</v>
          </cell>
          <cell r="J24" t="str">
            <v>丹波屋株式会社</v>
          </cell>
          <cell r="K24" t="str">
            <v>-</v>
          </cell>
          <cell r="L24">
            <v>0.6</v>
          </cell>
          <cell r="M24" t="str">
            <v>-</v>
          </cell>
          <cell r="N24" t="str">
            <v>スキンケア</v>
          </cell>
          <cell r="S24" t="str">
            <v>GOODS</v>
          </cell>
          <cell r="W24"/>
          <cell r="X24" t="str">
            <v>無し</v>
          </cell>
        </row>
        <row r="25">
          <cell r="A25" t="str">
            <v>CHAN LUU</v>
          </cell>
          <cell r="B25" t="str">
            <v>チャンルー</v>
          </cell>
          <cell r="C25" t="str">
            <v>cl</v>
          </cell>
          <cell r="D25" t="str">
            <v>chanluu</v>
          </cell>
          <cell r="E25" t="str">
            <v>chanluu</v>
          </cell>
          <cell r="F25" t="str">
            <v>ベトナム出身の女性デザイナーChanLuuが、2004年に立ち上げたブランド。オリエンタルとアンティークの混ざり合う独特な雰囲気とデザインで、世界中にファンを広げる、今注目のブランドです。</v>
          </cell>
          <cell r="G25" t="str">
            <v>CHAN LUU,チャンルー,ブレスレット,ラップブレスレット,ネックレス,通販,認定ショップ,正規小売店,公式,お洒落,LA,青山</v>
          </cell>
          <cell r="H25" t="str">
            <v>'00211'</v>
          </cell>
          <cell r="I25">
            <v>510</v>
          </cell>
          <cell r="J25" t="str">
            <v>CHAN LUU</v>
          </cell>
          <cell r="K25" t="str">
            <v>fashion brands/C/CHAN LUU（チャンルー）</v>
          </cell>
          <cell r="L25">
            <v>0.45</v>
          </cell>
          <cell r="M25" t="str">
            <v>http://www.lilietnene.com/fs/lilietnene/c/chanluu/</v>
          </cell>
          <cell r="N25" t="str">
            <v>レディースアクセサリー</v>
          </cell>
          <cell r="R25" t="str">
            <v>WOMAN</v>
          </cell>
          <cell r="U25" t="str">
            <v>アクセサリー</v>
          </cell>
          <cell r="X25" t="str">
            <v/>
          </cell>
          <cell r="Z25" t="str">
            <v>世界中にファンを広げる、今注目のブランド、チャンルー</v>
          </cell>
          <cell r="AA25" t="str">
            <v/>
          </cell>
          <cell r="AB25" t="str">
            <v>2003028</v>
          </cell>
          <cell r="AC25" t="str">
            <v/>
          </cell>
        </row>
        <row r="26">
          <cell r="A26" t="str">
            <v>CHARLI</v>
          </cell>
          <cell r="B26" t="str">
            <v>チャーリー</v>
          </cell>
          <cell r="C26" t="str">
            <v>ci</v>
          </cell>
          <cell r="D26" t="str">
            <v>charli</v>
          </cell>
          <cell r="E26" t="str">
            <v>charli</v>
          </cell>
          <cell r="F26" t="str">
            <v>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v>
          </cell>
          <cell r="G26" t="str">
            <v>CHARLI,チャーリー,CHARLI LONDON,チャーリー ロンドン,通販,レディースウエア,ロンドン,ニット,カットソー,レディース ニット,レディース カットソー,ミニマル ファッション,ミニマル デザイン</v>
          </cell>
          <cell r="H26" t="str">
            <v>00213'</v>
          </cell>
          <cell r="I26">
            <v>563</v>
          </cell>
          <cell r="J26" t="str">
            <v>CHARLI</v>
          </cell>
          <cell r="K26" t="str">
            <v>fashion brands/C/CHARLI（チャーリー）</v>
          </cell>
          <cell r="L26"/>
          <cell r="M26" t="str">
            <v>http://www.lilietnene.com/fs/lilietnene/c/charli/</v>
          </cell>
          <cell r="N26" t="str">
            <v>レディースウエア</v>
          </cell>
          <cell r="O26"/>
          <cell r="P26"/>
          <cell r="Q26"/>
          <cell r="R26" t="str">
            <v>WOMAN</v>
          </cell>
          <cell r="S26"/>
          <cell r="T26"/>
          <cell r="U26" t="str">
            <v>ウエア</v>
          </cell>
          <cell r="V26" t="str">
            <v>$SHOP$はCHARLI（チャーリー）の正規販売通販サイトです。2008年にスタートしたロンドンのレディースブランド。ニットやカットソーを得意とし、リラックス感のあるシックで上質なコレクションを展開。即日配送（一部地域）もご利用いただけます。</v>
          </cell>
          <cell r="X26" t="str">
            <v/>
          </cell>
          <cell r="Z26" t="str">
            <v>ロンドンのトレンドをエッセンスに、シックで上質なコレクションを展開</v>
          </cell>
          <cell r="AA26" t="str">
            <v/>
          </cell>
          <cell r="AB26" t="str">
            <v>2003022</v>
          </cell>
          <cell r="AC26" t="str">
            <v/>
          </cell>
        </row>
        <row r="27">
          <cell r="A27" t="str">
            <v>CHRISTINA ROHDE</v>
          </cell>
          <cell r="B27" t="str">
            <v>クリスティーナ・ローデ</v>
          </cell>
          <cell r="C27" t="str">
            <v>ch</v>
          </cell>
          <cell r="D27" t="str">
            <v>christinarohde</v>
          </cell>
          <cell r="E27" t="str">
            <v>christinarohde</v>
          </cell>
          <cell r="F27" t="str">
            <v>デンマーク発の老舗子供服ブランド「CHRISTINA ROHDE（クリスティーナ・ローデ）」。リバティプリントやオリジナルの生地を使い、シンプルながらもディテールにこだわったデザインが特徴的。</v>
          </cell>
          <cell r="G27" t="str">
            <v>CHRISTINA ROHDE、CHRISTINA ROHDE 通販、おしゃれな子供服 通販、北欧ブランド 通販、リバティプリント、子供服 リバティ、子供服　北欧ブランド、</v>
          </cell>
          <cell r="H27" t="str">
            <v>'00207'</v>
          </cell>
          <cell r="I27">
            <v>561</v>
          </cell>
          <cell r="J27" t="str">
            <v>CHRISTINA ROHDE</v>
          </cell>
          <cell r="K27" t="str">
            <v>fashion brands/C/CHRISTINA ROHDE（クリスティーナ・ローデ）</v>
          </cell>
          <cell r="M27" t="str">
            <v>http://www.lilietnene.com/fs/lilietnene/c/christinarohde/</v>
          </cell>
          <cell r="N27" t="str">
            <v>ベビー・キッズウエア</v>
          </cell>
          <cell r="O27" t="str">
            <v>BABY</v>
          </cell>
          <cell r="P27" t="str">
            <v>KIDS</v>
          </cell>
          <cell r="U27" t="str">
            <v>ウエア</v>
          </cell>
          <cell r="V27" t="str">
            <v>当店はCHRISTINA ROHDE（クリスティーナ・ローデ）の正規販売店。通販で即日発送可能です。デンマーク発の老舗子供服ブランドで、リバティプリントやオリジナルの生地を使い、シンプルながらもディテールにこだわったデザインが特徴的。</v>
          </cell>
          <cell r="X27" t="str">
            <v/>
          </cell>
          <cell r="Z27" t="str">
            <v>デンマーク発の老舗子供服ブランド</v>
          </cell>
          <cell r="AA27" t="str">
            <v>1004032</v>
          </cell>
          <cell r="AB27" t="str">
            <v/>
          </cell>
          <cell r="AC27" t="str">
            <v/>
          </cell>
        </row>
        <row r="28">
          <cell r="A28" t="str">
            <v>COUPRIO</v>
          </cell>
          <cell r="B28" t="str">
            <v>クプリオ</v>
          </cell>
          <cell r="C28" t="str">
            <v>cr</v>
          </cell>
          <cell r="D28" t="str">
            <v>couprio</v>
          </cell>
          <cell r="E28" t="str">
            <v>couprio</v>
          </cell>
          <cell r="F28" t="str">
            <v>鎌倉にあるベビーギフトと輸入雑貨のコンセプトショップ「COUPRIO」のオリジナルブランド。ナチュラル＆シンプルをテーマにフレンチシックなセレクトアイテムを揃えています。赤ちゃんにやさしいオーガニックコットンのアイテムは、ご出産祝いの贈り物としても人気です。</v>
          </cell>
          <cell r="G28" t="str">
            <v>COUPRIO,クプリオ,ベビーグッズ,オーガニックコットン,出産祝い,ベビーギフト,通販,赤ちゃん</v>
          </cell>
          <cell r="H28" t="str">
            <v>'00202'</v>
          </cell>
          <cell r="I28">
            <v>112</v>
          </cell>
          <cell r="J28" t="str">
            <v>有限会社アッピィ</v>
          </cell>
          <cell r="K28" t="str">
            <v>fashion brands/C/COUPRIO（クプリオ）</v>
          </cell>
          <cell r="L28">
            <v>0.39</v>
          </cell>
          <cell r="M28" t="str">
            <v>http://www.lilietnene.com/fs/lilietnene/c/couprio/</v>
          </cell>
          <cell r="N28" t="str">
            <v>ベビーウエア</v>
          </cell>
          <cell r="O28" t="str">
            <v>BABY</v>
          </cell>
          <cell r="U28" t="str">
            <v>ベビーウエア・ギフト</v>
          </cell>
          <cell r="V28" t="str">
            <v>鎌倉にあるベビーギフトと輸入雑貨のコンセプトショップ「COUPRIO」のオリジナルブランド。ナチュラル＆シンプルをテーマにオーガニック製のベビーアイテムや、フレンチシックなタイツやソックスを揃えています。即日配送（一部地域）もご利用いただけます。</v>
          </cell>
          <cell r="X28" t="str">
            <v/>
          </cell>
          <cell r="Z28" t="str">
            <v>オーガニックコットンを使ったシンプルでスタイリッシュなクプリオ</v>
          </cell>
          <cell r="AA28" t="str">
            <v>1001004</v>
          </cell>
          <cell r="AB28" t="str">
            <v/>
          </cell>
          <cell r="AC28" t="str">
            <v>9003001</v>
          </cell>
        </row>
        <row r="29">
          <cell r="A29" t="str">
            <v>CORAL&amp;TUSK</v>
          </cell>
          <cell r="B29" t="str">
            <v>コーラルアンドタスク</v>
          </cell>
          <cell r="C29" t="str">
            <v>ct</v>
          </cell>
          <cell r="D29" t="str">
            <v>coraltusk</v>
          </cell>
          <cell r="E29" t="str">
            <v>coraltusk</v>
          </cell>
          <cell r="F29" t="str">
            <v>ニューヨーク、ブルックリン発のブランド、コーラル＆タスク。ユニークな刺繍を施したシックで遊び心あるデザインのグッズです。ベビーギフトから大人のギフトまで！</v>
          </cell>
          <cell r="G29" t="str">
            <v>CORAL&amp;TUSK,コーラル＆タスク,ニューヨーク,NY,NEW YORK,刺繍,HP,クッション,ブローチ,動物モチーフ,通販</v>
          </cell>
          <cell r="H29" t="str">
            <v>'00210'</v>
          </cell>
          <cell r="I29">
            <v>111</v>
          </cell>
          <cell r="J29" t="str">
            <v>アッシュ・ペー・フランス株式会社</v>
          </cell>
          <cell r="K29" t="str">
            <v>fashion brands/C/CORAL&amp;TUSK（コーラル＆タスク）</v>
          </cell>
          <cell r="L29">
            <v>0</v>
          </cell>
          <cell r="M29" t="str">
            <v>http://www.lilietnene.com/fs/lilietnene/c/coraltusk/</v>
          </cell>
          <cell r="N29" t="str">
            <v>アート・オブジェ</v>
          </cell>
          <cell r="S29" t="str">
            <v>GOODS</v>
          </cell>
          <cell r="U29" t="str">
            <v>アート・オブジェ</v>
          </cell>
          <cell r="X29" t="str">
            <v/>
          </cell>
          <cell r="Z29" t="str">
            <v>N.Yブルックリン発のブランド、コーラル＆タスク</v>
          </cell>
          <cell r="AA29" t="str">
            <v/>
          </cell>
          <cell r="AB29" t="str">
            <v/>
          </cell>
          <cell r="AC29" t="str">
            <v>9001008</v>
          </cell>
        </row>
        <row r="30">
          <cell r="A30" t="str">
            <v>5 OCTOBRE</v>
          </cell>
          <cell r="B30" t="str">
            <v>サンクオクトーブル</v>
          </cell>
          <cell r="C30" t="str">
            <v>co</v>
          </cell>
          <cell r="D30" t="str">
            <v>5octobre</v>
          </cell>
          <cell r="E30" t="str">
            <v>5octobre</v>
          </cell>
          <cell r="F30" t="str">
            <v>10月5日を意味するブランド名は、デザイナー・SophiePfeffer（ソフィー・フェッファー）の誕生日であり、五感や五体を意味しています。アンティークジュエリーや数多くのアートから影響を受けたアイテムはMerciなどにもセレクトされています。</v>
          </cell>
          <cell r="H30" t="str">
            <v>'00507'</v>
          </cell>
          <cell r="I30">
            <v>502</v>
          </cell>
          <cell r="J30" t="str">
            <v>5 OCTOBRE</v>
          </cell>
          <cell r="K30" t="str">
            <v>-</v>
          </cell>
          <cell r="L30" t="str">
            <v/>
          </cell>
          <cell r="M30" t="str">
            <v>-</v>
          </cell>
          <cell r="N30" t="str">
            <v>レディースアクセサリー</v>
          </cell>
          <cell r="R30" t="str">
            <v>WOMAN</v>
          </cell>
          <cell r="U30" t="str">
            <v>アクセサリー</v>
          </cell>
          <cell r="W30"/>
          <cell r="X30" t="str">
            <v>無し</v>
          </cell>
        </row>
        <row r="31">
          <cell r="A31" t="str">
            <v>DEAR MOROCCO</v>
          </cell>
          <cell r="B31" t="str">
            <v>ディアモロッコ</v>
          </cell>
          <cell r="C31" t="str">
            <v>dm</v>
          </cell>
          <cell r="D31" t="str">
            <v>dearmorocco</v>
          </cell>
          <cell r="E31" t="str">
            <v>dearmorocco</v>
          </cell>
          <cell r="F31" t="str">
            <v>モロッコ・マラケシュに本社を置き、モロッコの革製スリッパ「バブーシュ」や、モロッコ雑貨、インテリアなどを取り扱っています。オリジナルデザインとカラーが人気です。</v>
          </cell>
          <cell r="G31" t="str">
            <v>DEAR MOROCCO,バブーシュ,ディアモロッコ,キッズ,レディース,モロッコ雑貨,モロッコインテリア,通販</v>
          </cell>
          <cell r="H31" t="str">
            <v>'00308'</v>
          </cell>
          <cell r="I31">
            <v>146</v>
          </cell>
          <cell r="J31" t="str">
            <v>ディアモロッコ株式会社</v>
          </cell>
          <cell r="K31" t="str">
            <v>fashion brands/D/DEAR MOROCCO（ディア・モロッコ）</v>
          </cell>
          <cell r="L31">
            <v>0.57999999999999996</v>
          </cell>
          <cell r="M31" t="str">
            <v>http://www.lilietnene.com/fs/lilietnene/c/dearmorocco/</v>
          </cell>
          <cell r="N31" t="str">
            <v>インテリア雑貨</v>
          </cell>
          <cell r="S31" t="str">
            <v>GOODS</v>
          </cell>
          <cell r="U31" t="str">
            <v>インテリア・ハウスウエア</v>
          </cell>
          <cell r="W31"/>
          <cell r="X31" t="str">
            <v>無し</v>
          </cell>
        </row>
        <row r="32">
          <cell r="A32" t="str">
            <v>DJECO</v>
          </cell>
          <cell r="B32" t="str">
            <v>ジェコ</v>
          </cell>
          <cell r="C32" t="str">
            <v>dj</v>
          </cell>
          <cell r="D32" t="str">
            <v>djeco</v>
          </cell>
          <cell r="E32" t="str">
            <v>djeco</v>
          </cell>
          <cell r="F32" t="str">
            <v>フランスの才能あるイラストレーターやデザイナーたちに依頼して、楽しくも知育的で想像力を育むおもちゃを作り出しています。</v>
          </cell>
          <cell r="G32" t="str">
            <v>djeco,ジェコ,フランス,知育的,ヨーロッパ安全基準,ＣＥ,安全基準ＣＥ,CE Marking,CEマーキング,シーイーマーキング</v>
          </cell>
          <cell r="H32" t="str">
            <v>'00302'</v>
          </cell>
          <cell r="I32">
            <v>139</v>
          </cell>
          <cell r="J32" t="str">
            <v>株式会社モーカルインターナショナル</v>
          </cell>
          <cell r="K32" t="str">
            <v>toy brands/DJECO（ジェコ）</v>
          </cell>
          <cell r="L32">
            <v>0.57999999999999996</v>
          </cell>
          <cell r="M32" t="str">
            <v>http://www.lilietnene.com/fs/lilietnene/c/toy-djeco/</v>
          </cell>
          <cell r="N32" t="str">
            <v>ベビー・キッズ玩具</v>
          </cell>
          <cell r="S32" t="str">
            <v>GOODS</v>
          </cell>
          <cell r="T32" t="str">
            <v>TOY</v>
          </cell>
          <cell r="U32" t="str">
            <v>玩具</v>
          </cell>
          <cell r="W32"/>
          <cell r="X32" t="str">
            <v>無し</v>
          </cell>
        </row>
        <row r="33">
          <cell r="A33" t="str">
            <v>DOREDORE</v>
          </cell>
          <cell r="B33" t="str">
            <v>ドレドレ</v>
          </cell>
          <cell r="C33" t="str">
            <v>dr</v>
          </cell>
          <cell r="D33" t="str">
            <v>doredore</v>
          </cell>
          <cell r="E33" t="str">
            <v>doredore</v>
          </cell>
          <cell r="F33" t="str">
            <v>ドレドレはパリに本店を構える老舗の靴下メーカーです。滑らかな履き心地、豊富なカラーバリエーションで人気を集めています。</v>
          </cell>
          <cell r="G33" t="str">
            <v>DOREDORE,タイツ, リブタイツ, キッズ靴下, 子供タイツ</v>
          </cell>
          <cell r="H33" t="str">
            <v>'00301'</v>
          </cell>
          <cell r="I33">
            <v>511</v>
          </cell>
          <cell r="J33" t="str">
            <v>DOREDORE</v>
          </cell>
          <cell r="K33" t="str">
            <v>-</v>
          </cell>
          <cell r="L33">
            <v>0.39</v>
          </cell>
          <cell r="M33" t="str">
            <v>-</v>
          </cell>
          <cell r="N33" t="str">
            <v>キッズ・レディースソックス</v>
          </cell>
          <cell r="P33" t="str">
            <v>KIDS</v>
          </cell>
          <cell r="R33" t="str">
            <v>WOMAN</v>
          </cell>
          <cell r="W33"/>
          <cell r="X33" t="str">
            <v>無し</v>
          </cell>
        </row>
        <row r="34">
          <cell r="A34" t="str">
            <v>DRAGON</v>
          </cell>
          <cell r="B34" t="str">
            <v>ドラゴン</v>
          </cell>
          <cell r="C34" t="str">
            <v>dg</v>
          </cell>
          <cell r="D34" t="str">
            <v>dragon</v>
          </cell>
          <cell r="E34" t="str">
            <v>dragon</v>
          </cell>
          <cell r="F34" t="str">
            <v>熟練した職人の編みこみによるレザーメッシュが特徴的なブランド。ハイブランドからのオファーも絶えず、常にクオリティの高いレザー製品を手がけています。</v>
          </cell>
          <cell r="G34" t="str">
            <v>DRAGON,ドラゴン,レザーバッグ,レザーメッシュバッグ,ソニア,パーク,レザーかごバッグ,通販,ベルギー</v>
          </cell>
          <cell r="H34" t="str">
            <v>'00303'</v>
          </cell>
          <cell r="I34">
            <v>512</v>
          </cell>
          <cell r="J34" t="str">
            <v>DRAGON</v>
          </cell>
          <cell r="K34" t="str">
            <v>fashion brands/D/DRAGON（ドラゴン）</v>
          </cell>
          <cell r="L34" t="str">
            <v/>
          </cell>
          <cell r="M34" t="str">
            <v>http://www.lilietnene.com/fs/lilietnene/c/dragon/</v>
          </cell>
          <cell r="N34" t="str">
            <v>レディースバッグ</v>
          </cell>
          <cell r="R34" t="str">
            <v>WOMAN</v>
          </cell>
          <cell r="U34" t="str">
            <v>バッグ</v>
          </cell>
          <cell r="V34" t="str">
            <v>$SHOP$はDragon DiffusionによるDRAGON（ドラゴン）の正規販売通販サイトです。熟練した職人の編みこみによるレザーメッシュが特徴的で、常にクオリティの高いレザー製品を手がけています。即日配送（一部地域）もご利用いただけます。</v>
          </cell>
          <cell r="X34" t="str">
            <v/>
          </cell>
          <cell r="Z34" t="str">
            <v>熟練した職人の編みこみによるレザーメッシュが大人気</v>
          </cell>
          <cell r="AA34" t="str">
            <v/>
          </cell>
          <cell r="AB34" t="str">
            <v>2002011</v>
          </cell>
          <cell r="AC34" t="str">
            <v/>
          </cell>
        </row>
        <row r="35">
          <cell r="A35" t="str">
            <v>EGMONT TOYS</v>
          </cell>
          <cell r="B35" t="str">
            <v>エグモントトイズ</v>
          </cell>
          <cell r="C35" t="str">
            <v>sh</v>
          </cell>
          <cell r="D35" t="str">
            <v>egmonttoys</v>
          </cell>
          <cell r="E35" t="str">
            <v>egmonttoys</v>
          </cell>
          <cell r="F35" t="str">
            <v>ヨーロッパのおもちゃを取り扱うベルギーのセレクトブランド、Egmont toys(エグモントトイズ)社。良質でしっかりとしたおもちゃは世界中で広く愛されています。</v>
          </cell>
          <cell r="H35" t="str">
            <v>-</v>
          </cell>
          <cell r="I35">
            <v>123</v>
          </cell>
          <cell r="J35" t="str">
            <v>湘南インターナショナル株式会社</v>
          </cell>
          <cell r="K35" t="str">
            <v>toy brands/EGMONT TOYS（エグモントトイズ）</v>
          </cell>
          <cell r="L35" t="str">
            <v/>
          </cell>
          <cell r="M35" t="str">
            <v>http://www.lilietnene.com/fs/lilietnene/c/egmonttoys</v>
          </cell>
          <cell r="N35" t="str">
            <v>ベビー・キッズ玩具</v>
          </cell>
          <cell r="T35" t="str">
            <v>TOY</v>
          </cell>
          <cell r="U35" t="str">
            <v>玩具</v>
          </cell>
          <cell r="X35" t="str">
            <v/>
          </cell>
          <cell r="Z35" t="str">
            <v>ヨーロッパのおもちゃを取り扱うベルギーのセレクトブランド</v>
          </cell>
          <cell r="AA35" t="str">
            <v/>
          </cell>
          <cell r="AB35" t="str">
            <v/>
          </cell>
          <cell r="AC35" t="str">
            <v>9004015</v>
          </cell>
        </row>
        <row r="36">
          <cell r="A36" t="str">
            <v>ENGEL</v>
          </cell>
          <cell r="B36" t="str">
            <v>エンゲル</v>
          </cell>
          <cell r="C36" t="str">
            <v>un</v>
          </cell>
          <cell r="D36" t="str">
            <v>engel</v>
          </cell>
          <cell r="E36" t="str">
            <v>engel</v>
          </cell>
          <cell r="F36" t="str">
            <v>オランダ生まれのキッズ向け雑貨ブランドENGEL社（エンゲル）。パーティーグッズやペーパー雑貨を中心に特別な日をより華やかに、毎日の暮らしが楽しくなるアイテムを世界中に発信しています。</v>
          </cell>
          <cell r="G36" t="str">
            <v>ENGEL,ペーパーポンポン,ハニカムボール</v>
          </cell>
          <cell r="H36" t="str">
            <v>'00306'</v>
          </cell>
          <cell r="I36">
            <v>140</v>
          </cell>
          <cell r="J36" t="str">
            <v>株式会社ユニコン</v>
          </cell>
          <cell r="K36" t="str">
            <v>zakka brands/ENGEL（エンゲル）</v>
          </cell>
          <cell r="L36">
            <v>0.6</v>
          </cell>
          <cell r="M36" t="str">
            <v>http://www.lilietnene.com/fs/lilietnene/c/engel</v>
          </cell>
          <cell r="N36" t="str">
            <v>インテリア雑貨</v>
          </cell>
          <cell r="S36" t="str">
            <v>GOODS</v>
          </cell>
          <cell r="U36" t="str">
            <v>キッズ雑貨</v>
          </cell>
          <cell r="X36" t="str">
            <v/>
          </cell>
          <cell r="Z36" t="str">
            <v>オランダ生まれのキッズ向け雑貨ブランド、ENGEL</v>
          </cell>
          <cell r="AA36" t="str">
            <v/>
          </cell>
          <cell r="AB36" t="str">
            <v/>
          </cell>
          <cell r="AC36" t="str">
            <v>9002001</v>
          </cell>
        </row>
        <row r="37">
          <cell r="A37" t="str">
            <v>EN SHALLA</v>
          </cell>
          <cell r="B37" t="str">
            <v>エンシャラ</v>
          </cell>
          <cell r="C37" t="str">
            <v>*hp</v>
          </cell>
          <cell r="D37" t="str">
            <v>enshalla</v>
          </cell>
          <cell r="E37" t="str">
            <v>enshalla</v>
          </cell>
          <cell r="F37" t="str">
            <v>1997年にスタートしたロンドン発のブランド。モロッコのカルチャーからインスパイアされたハンドメイド作品はエスニックな魅力とモダンな感性が融合した、オリジナリティあふれるデザインが魅力。</v>
          </cell>
          <cell r="H37" t="str">
            <v>'00405'</v>
          </cell>
          <cell r="I37">
            <v>111</v>
          </cell>
          <cell r="J37" t="str">
            <v>アッシュ・ペー・フランス株式会社</v>
          </cell>
          <cell r="K37" t="str">
            <v>-</v>
          </cell>
          <cell r="L37" t="str">
            <v/>
          </cell>
          <cell r="M37" t="str">
            <v>-</v>
          </cell>
          <cell r="N37" t="str">
            <v>レディースアクセサリー</v>
          </cell>
          <cell r="R37" t="str">
            <v>WOMAN</v>
          </cell>
          <cell r="U37" t="str">
            <v>ファッション小物</v>
          </cell>
          <cell r="W37"/>
          <cell r="X37" t="str">
            <v>無し</v>
          </cell>
        </row>
        <row r="38">
          <cell r="A38" t="str">
            <v>ELIZABETH W</v>
          </cell>
          <cell r="B38" t="str">
            <v>エリザベスダブリュー</v>
          </cell>
          <cell r="C38" t="str">
            <v>ew</v>
          </cell>
          <cell r="D38" t="str">
            <v>elizabethw</v>
          </cell>
          <cell r="E38" t="str">
            <v>elizabethw</v>
          </cell>
          <cell r="F38" t="str">
            <v>エリザベスダブリューは、老舗の香水専門店からスタートした、アメリカサンフランシスコ生まれのブランド。上質な素材と洗練されたデザインのフレグランスやハンドクリーム、バスアイテムを作っています。</v>
          </cell>
          <cell r="G38" t="str">
            <v>エリザベスダブリュー,ギフト 女性,ハンドクリーム プレゼント,ハンドクリーム おすすめ,ギフト 通販,ギフトセット 通販</v>
          </cell>
          <cell r="H38" t="str">
            <v>00406'</v>
          </cell>
          <cell r="I38">
            <v>145</v>
          </cell>
          <cell r="J38" t="str">
            <v>丹波屋株式会社</v>
          </cell>
          <cell r="K38" t="str">
            <v>-</v>
          </cell>
          <cell r="M38" t="str">
            <v>http://www.lilietnene.com/fs/lilietnene/c/elizabethw/</v>
          </cell>
          <cell r="N38" t="str">
            <v>ライフスタイル雑貨</v>
          </cell>
          <cell r="S38" t="str">
            <v>GOODS</v>
          </cell>
          <cell r="U38" t="str">
            <v>フレグランス</v>
          </cell>
          <cell r="X38" t="str">
            <v/>
          </cell>
          <cell r="Z38" t="str">
            <v>老舗の香水専門店からスタートした、サンフランシスコ生まれのブランド</v>
          </cell>
          <cell r="AA38" t="str">
            <v/>
          </cell>
          <cell r="AB38" t="str">
            <v/>
          </cell>
          <cell r="AC38" t="str">
            <v>9001009</v>
          </cell>
        </row>
        <row r="39">
          <cell r="A39" t="str">
            <v>EMILE ET IDA</v>
          </cell>
          <cell r="B39" t="str">
            <v>エミールエイダ</v>
          </cell>
          <cell r="C39" t="str">
            <v>ei</v>
          </cell>
          <cell r="D39" t="str">
            <v>emileetida</v>
          </cell>
          <cell r="E39" t="str">
            <v>emileetida</v>
          </cell>
          <cell r="F39" t="str">
            <v>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v>
          </cell>
          <cell r="G39" t="str">
            <v>EMILE ET IDA,エミール エ イダ,フランス,子供服,ベビー服,プリント,ギフト,お祝い,通販,人気</v>
          </cell>
          <cell r="H39" t="str">
            <v>'00404'</v>
          </cell>
          <cell r="I39">
            <v>513</v>
          </cell>
          <cell r="J39" t="str">
            <v>EMILE ET IDA</v>
          </cell>
          <cell r="K39" t="str">
            <v>fashion brands/E/EMILE ET IDA（エミール エ イダ）</v>
          </cell>
          <cell r="L39">
            <v>0.39</v>
          </cell>
          <cell r="M39" t="str">
            <v>http://www.lilietnene.com/fs/lilietnene/c/emileetida/</v>
          </cell>
          <cell r="N39" t="str">
            <v>キッズウエア</v>
          </cell>
          <cell r="O39" t="str">
            <v>BABY</v>
          </cell>
          <cell r="P39" t="str">
            <v>KIDS</v>
          </cell>
          <cell r="U39" t="str">
            <v>ウエア</v>
          </cell>
          <cell r="V39" t="str">
            <v>$SHOP$はEMILE ET IDA（エミールエイダ）の正規販売通販サイトです。ヴィンテージやロックンロールにインスパイアされた、個性的な色使いと遊び心のあるデザインが人気のフランスの子供服ブランド。即日配送（一部地域）もご利用いただけます。</v>
          </cell>
          <cell r="X39" t="str">
            <v/>
          </cell>
          <cell r="Z39" t="str">
            <v>パリのエスプリの効いたデザインが人気のエミール エ イダ</v>
          </cell>
          <cell r="AA39" t="str">
            <v>1002017</v>
          </cell>
          <cell r="AB39" t="str">
            <v/>
          </cell>
          <cell r="AC39" t="str">
            <v/>
          </cell>
        </row>
        <row r="40">
          <cell r="A40" t="str">
            <v>EPICE</v>
          </cell>
          <cell r="B40" t="str">
            <v>エピス</v>
          </cell>
          <cell r="C40" t="str">
            <v>ep</v>
          </cell>
          <cell r="D40" t="str">
            <v>epice</v>
          </cell>
          <cell r="E40" t="str">
            <v>epice</v>
          </cell>
          <cell r="F40" t="str">
            <v>Bess NielsenとJan Machenhauerの2人がフランスで立ち上げたブランド。20年以上のキャリアを持つBessとクチュールデザイナーとしての経歴を持つJanが作る色とりどりのスカーフは全世界で人気。</v>
          </cell>
          <cell r="G40" t="str">
            <v>EPICE,エピス,スカーフ,ストール,パリ,花柄,チェック,人気,通販</v>
          </cell>
          <cell r="H40" t="str">
            <v>'00401'</v>
          </cell>
          <cell r="I40">
            <v>514</v>
          </cell>
          <cell r="J40" t="str">
            <v>EPICE</v>
          </cell>
          <cell r="K40" t="str">
            <v>fashion brands/E/EPICE（エピス）</v>
          </cell>
          <cell r="L40">
            <v>0.39</v>
          </cell>
          <cell r="M40" t="str">
            <v>http://www.lilietnene.com/fs/lilietnene/c/epice/</v>
          </cell>
          <cell r="N40" t="str">
            <v>レディースストール</v>
          </cell>
          <cell r="R40" t="str">
            <v>WOMAN</v>
          </cell>
          <cell r="U40" t="str">
            <v>ストール</v>
          </cell>
          <cell r="W40"/>
          <cell r="X40" t="str">
            <v>無し</v>
          </cell>
        </row>
        <row r="41">
          <cell r="A41" t="str">
            <v>FABIO RUSCONI</v>
          </cell>
          <cell r="B41" t="str">
            <v>ファビオルスコーニ</v>
          </cell>
          <cell r="C41" t="str">
            <v>fa</v>
          </cell>
          <cell r="D41" t="str">
            <v>fabiorusconi</v>
          </cell>
          <cell r="E41" t="str">
            <v>fabiorusconi</v>
          </cell>
          <cell r="F41" t="str">
            <v>イタリア、トスカーナ州フィレンツェ在住のシューズデザイナー、FabioRusconiが1998年に立ち上げたブランド。若々しい女性、行動的な女性、洗練された女性のために捧げたコレクションです。</v>
          </cell>
          <cell r="G41" t="str">
            <v>FABIO RUSCONI,ファビオ ルスコーニ,スリッポン,シューズ,靴,イタリア,バレエシューズ,ヒール,レディース,通販,サンダル,ブーツ</v>
          </cell>
          <cell r="H41" t="str">
            <v>'00504'</v>
          </cell>
          <cell r="I41">
            <v>131</v>
          </cell>
          <cell r="J41" t="str">
            <v>有限会社ハイブリッジ・インターナショナル</v>
          </cell>
          <cell r="K41" t="str">
            <v>fashion brands/F/FABIO RUSCONI（ファビオ ルスコーニ）</v>
          </cell>
          <cell r="L41">
            <v>0.56999999999999995</v>
          </cell>
          <cell r="M41" t="str">
            <v>http://www.lilietnene.com/fs/lilietnene/c/falierosarti/</v>
          </cell>
          <cell r="N41" t="str">
            <v>レディースシューズ</v>
          </cell>
          <cell r="R41" t="str">
            <v>WOMAN</v>
          </cell>
          <cell r="U41" t="str">
            <v>シューズ</v>
          </cell>
          <cell r="V41" t="str">
            <v>$SHOP$はFABIO RUSCONI（ファビオ ルスコーニ）の正規販売通販サイトです。イタリア・フィレンツェ在住のデザイナーによる、若々しい女性、行動的な女性、洗練された女性に捧げたシューズコレクションを展開。即日配送（一部地域）もご利用いただけます。</v>
          </cell>
          <cell r="X41" t="str">
            <v/>
          </cell>
          <cell r="Z41" t="str">
            <v>若々しく行動的、洗練された女性のために捧げたコレクション</v>
          </cell>
          <cell r="AA41" t="str">
            <v/>
          </cell>
          <cell r="AB41" t="str">
            <v>2001005</v>
          </cell>
          <cell r="AC41" t="str">
            <v/>
          </cell>
        </row>
        <row r="42">
          <cell r="A42" t="str">
            <v>THE FABULOUS GARLANDS</v>
          </cell>
          <cell r="B42" t="str">
            <v>ファビュラスガーランド</v>
          </cell>
          <cell r="C42" t="str">
            <v>fb</v>
          </cell>
          <cell r="D42" t="str">
            <v>fabulousgarlands</v>
          </cell>
          <cell r="E42" t="str">
            <v>fabulousgarlands</v>
          </cell>
          <cell r="F42" t="str">
            <v>ファビュラスガーランドは、パリで活躍するアーティストSophieCuvelierが展開するペーパーバナー。染色した紙を使用した深い色合いと温か味がパリでも人気を集めています。</v>
          </cell>
          <cell r="G42" t="str">
            <v>the fabulous garlands,ファビュラス・ガーランド,ペーパーバナー,キッズルーム</v>
          </cell>
          <cell r="H42" t="str">
            <v>'01905'</v>
          </cell>
          <cell r="I42">
            <v>515</v>
          </cell>
          <cell r="J42" t="str">
            <v>FABUROUS GARLANDS</v>
          </cell>
          <cell r="K42" t="str">
            <v>zakka brands/THE FABULOUS GARLANDS（ザ ファビュラス ガーランド）</v>
          </cell>
          <cell r="L42" t="str">
            <v/>
          </cell>
          <cell r="M42" t="str">
            <v>http://www.lilietnene.com/fs/lilietnene/c/fabulousgarlands</v>
          </cell>
          <cell r="N42" t="str">
            <v>アート・オブジェ</v>
          </cell>
          <cell r="S42" t="str">
            <v>GOODS</v>
          </cell>
          <cell r="U42" t="str">
            <v>アート・オブジェ</v>
          </cell>
          <cell r="X42" t="str">
            <v/>
          </cell>
          <cell r="Z42" t="str">
            <v>パリで活躍するアーティストSophie Cuvelierが展開するペーパーバナー</v>
          </cell>
          <cell r="AA42" t="str">
            <v/>
          </cell>
          <cell r="AB42" t="str">
            <v/>
          </cell>
          <cell r="AC42" t="str">
            <v>9002002</v>
          </cell>
        </row>
        <row r="43">
          <cell r="A43" t="str">
            <v>FALIERO SARTI</v>
          </cell>
          <cell r="B43" t="str">
            <v>ファリエロサルティ</v>
          </cell>
          <cell r="C43" t="str">
            <v>fs</v>
          </cell>
          <cell r="D43" t="str">
            <v>falierosarti</v>
          </cell>
          <cell r="E43" t="str">
            <v>falierosarti</v>
          </cell>
          <cell r="F43" t="str">
            <v>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v>
          </cell>
          <cell r="G43" t="str">
            <v>FALIERO SARTI,ファリエロ・サルティ,イタリア,人気,ストール,サルティ,雑誌掲載,スカーフ,カシミア,モダール,通販</v>
          </cell>
          <cell r="H43" t="str">
            <v>'00501'</v>
          </cell>
          <cell r="I43">
            <v>516</v>
          </cell>
          <cell r="J43" t="str">
            <v>FALIERO SARTI</v>
          </cell>
          <cell r="K43" t="str">
            <v>fashion brands/F/FALIERO SARTI（ファリエロ・サルティ）</v>
          </cell>
          <cell r="L43">
            <v>0.55000000000000004</v>
          </cell>
          <cell r="M43" t="str">
            <v>http://www.lilietnene.com/fs/lilietnene/c/falierosarti/</v>
          </cell>
          <cell r="N43" t="str">
            <v>レディースストール</v>
          </cell>
          <cell r="R43" t="str">
            <v>WOMAN</v>
          </cell>
          <cell r="U43" t="str">
            <v>ストール</v>
          </cell>
          <cell r="V43" t="str">
            <v>$SHOP$はFALIERO SARTIの正規販売通販サイトです。ストールが人気のファリエロ・サルティは、1949年にイタリアに創立された老舗テキスタイルメーカー。高い創造性が生むラグジュアリーなデザインが世界中で愛されています。即日配送（一部地域）もご利用いただけます。</v>
          </cell>
          <cell r="X43" t="str">
            <v/>
          </cell>
          <cell r="Z43" t="str">
            <v>イタリアの老舗ブランド、ラグジュアリーなデザインが人気</v>
          </cell>
          <cell r="AA43" t="str">
            <v/>
          </cell>
          <cell r="AB43" t="str">
            <v>2003021</v>
          </cell>
          <cell r="AC43" t="str">
            <v/>
          </cell>
        </row>
        <row r="44">
          <cell r="A44" t="str">
            <v>FLAMANT</v>
          </cell>
          <cell r="B44" t="str">
            <v>フラマン</v>
          </cell>
          <cell r="C44" t="str">
            <v>fl</v>
          </cell>
          <cell r="D44" t="str">
            <v>flamant</v>
          </cell>
          <cell r="E44" t="str">
            <v>flamant</v>
          </cell>
          <cell r="F44" t="str">
            <v>フラマン社はベルギー・フランスを中心にヨーロッパでコンセプトショップを展開し、20年以上に渡って人々に広く親しまれ、常にインテリア業界をリードしてきました。</v>
          </cell>
          <cell r="G44" t="str">
            <v>南青山, ショップ, インテリア, 雑貨, Flamant</v>
          </cell>
          <cell r="H44" t="str">
            <v>'00506'</v>
          </cell>
          <cell r="I44">
            <v>901</v>
          </cell>
          <cell r="J44" t="str">
            <v>海外仕入（過去）</v>
          </cell>
          <cell r="K44" t="str">
            <v>zakka brands/FLAMANT（フラマン）</v>
          </cell>
          <cell r="L44">
            <v>0.48</v>
          </cell>
          <cell r="M44" t="str">
            <v>http://www.lilietnene.com/fs/lilietnene/c/flamant/</v>
          </cell>
          <cell r="N44" t="str">
            <v>インテリア雑貨</v>
          </cell>
          <cell r="S44" t="str">
            <v>GOODS</v>
          </cell>
          <cell r="U44" t="str">
            <v>インテリア・ハウスウエア</v>
          </cell>
          <cell r="X44" t="str">
            <v/>
          </cell>
          <cell r="AA44" t="str">
            <v/>
          </cell>
          <cell r="AB44" t="str">
            <v/>
          </cell>
          <cell r="AC44" t="str">
            <v>9001014</v>
          </cell>
        </row>
        <row r="45">
          <cell r="A45" t="str">
            <v>FOG LINEN WORK</v>
          </cell>
          <cell r="B45" t="str">
            <v>フォグ リネンワーク</v>
          </cell>
          <cell r="C45" t="str">
            <v>fg</v>
          </cell>
          <cell r="D45" t="str">
            <v>foglinenwork-all</v>
          </cell>
          <cell r="E45" t="str">
            <v>foglinenwork</v>
          </cell>
          <cell r="F45" t="str">
            <v>ナチュラルで素朴な味わいのあるfog linen work。上質ながらも生活にスッと溶け込むシンプルなアイテムが人気です。</v>
          </cell>
          <cell r="G45" t="str">
            <v>リネン,リトアニア,fog,notebooks,みちのくあかね会,フォグ,ノートブックス,キッチンクロス,ハンドメイド,アンティーク家具</v>
          </cell>
          <cell r="H45" t="str">
            <v>'00502'</v>
          </cell>
          <cell r="I45">
            <v>130</v>
          </cell>
          <cell r="J45" t="str">
            <v>有限会社ノートブックス</v>
          </cell>
          <cell r="K45" t="str">
            <v>zakka brands/fog linen work（フォグ・リネンワーク）</v>
          </cell>
          <cell r="L45" t="str">
            <v/>
          </cell>
          <cell r="M45" t="str">
            <v>http://www.lilietnene.com/fs/lilietnene/c/foglinenwork/</v>
          </cell>
          <cell r="N45" t="str">
            <v>ライフスタイル雑貨</v>
          </cell>
          <cell r="S45" t="str">
            <v>GOODS</v>
          </cell>
          <cell r="U45" t="str">
            <v>インテリア・ハウスウエア</v>
          </cell>
          <cell r="X45" t="str">
            <v/>
          </cell>
          <cell r="Z45" t="str">
            <v>上質ながらも生活にスッと溶け込むフォグ・リネンワークのアイテム</v>
          </cell>
          <cell r="AA45" t="str">
            <v/>
          </cell>
          <cell r="AB45" t="str">
            <v/>
          </cell>
          <cell r="AC45" t="str">
            <v>9001003</v>
          </cell>
        </row>
        <row r="46">
          <cell r="A46" t="str">
            <v>FUB</v>
          </cell>
          <cell r="B46" t="str">
            <v>ファブ</v>
          </cell>
          <cell r="C46" t="str">
            <v>fu</v>
          </cell>
          <cell r="D46" t="str">
            <v>fub</v>
          </cell>
          <cell r="E46" t="str">
            <v>fub</v>
          </cell>
          <cell r="F46" t="str">
            <v>FUB(ファブ)は、デンマーク生まれのベビー・キッズブランド。合成肥料を使用しない素材選びにこだわり、100%オーガニックコットンやウールを使ったアイテムを展開。流行にとらわれないユニセックスデザインが特徴的。子供達が遊びを存分に楽しめる服づくりを心掛けている。</v>
          </cell>
          <cell r="G46" t="str">
            <v>fub,ファブ,オーガニックコットン,ウール,デンマークブランド,子供服,ベビー服,通販</v>
          </cell>
          <cell r="H46" t="str">
            <v>00508'</v>
          </cell>
          <cell r="I46">
            <v>129</v>
          </cell>
          <cell r="J46" t="str">
            <v>株式会社ノーザンスカイ</v>
          </cell>
          <cell r="K46" t="str">
            <v>fashion brands/F/FUB（ファブ）</v>
          </cell>
          <cell r="M46" t="str">
            <v>http://www.lilietnene.com/fs/lilietnene/c/fub/</v>
          </cell>
          <cell r="N46" t="str">
            <v>キッズウエア</v>
          </cell>
          <cell r="P46" t="str">
            <v>KIDS</v>
          </cell>
          <cell r="U46" t="str">
            <v>ウエア</v>
          </cell>
          <cell r="W46"/>
          <cell r="X46" t="str">
            <v>無し</v>
          </cell>
        </row>
        <row r="47">
          <cell r="A47" t="str">
            <v>gg*</v>
          </cell>
          <cell r="B47" t="str">
            <v>ジジ</v>
          </cell>
          <cell r="C47" t="str">
            <v>gg</v>
          </cell>
          <cell r="D47" t="str">
            <v>gg</v>
          </cell>
          <cell r="E47" t="str">
            <v>gg</v>
          </cell>
          <cell r="F47" t="str">
            <v>木のおもちゃをはじめとする"こども"に親しまれるものをつくる2人組。安全基準や品質、素材にこだわって作られるおもちゃは、愛情に溢れたあたたかい雰囲気にあふれています。</v>
          </cell>
          <cell r="H47" t="str">
            <v>'00602'</v>
          </cell>
          <cell r="I47">
            <v>119</v>
          </cell>
          <cell r="J47" t="str">
            <v>株式会社KUKKIA</v>
          </cell>
          <cell r="K47" t="str">
            <v>toy brands/gg*（ジジ）</v>
          </cell>
          <cell r="L47">
            <v>0.6</v>
          </cell>
          <cell r="M47" t="str">
            <v>http://www.lilietnene.com/fs/lilietnene/c/gg/</v>
          </cell>
          <cell r="N47" t="str">
            <v>ベビー・キッズ玩具</v>
          </cell>
          <cell r="S47" t="str">
            <v>GOODS</v>
          </cell>
          <cell r="T47" t="str">
            <v>TOY</v>
          </cell>
          <cell r="U47" t="str">
            <v>玩具</v>
          </cell>
          <cell r="X47" t="str">
            <v/>
          </cell>
          <cell r="Z47" t="str">
            <v>愛情に溢れたあたたかい雰囲気が人気のgg*の木のおもちゃ</v>
          </cell>
          <cell r="AA47" t="str">
            <v/>
          </cell>
          <cell r="AB47" t="str">
            <v/>
          </cell>
          <cell r="AC47" t="str">
            <v>9004005</v>
          </cell>
        </row>
        <row r="48">
          <cell r="A48" t="str">
            <v>G.H. HURT&amp;SON</v>
          </cell>
          <cell r="B48" t="str">
            <v>ジーエイチハートソン</v>
          </cell>
          <cell r="C48" t="str">
            <v>gh</v>
          </cell>
          <cell r="D48" t="str">
            <v>gh</v>
          </cell>
          <cell r="E48" t="str">
            <v>gh</v>
          </cell>
          <cell r="F48" t="str">
            <v>1912年に設立されたイギリスのニットブランド。伝統的なレースパターンを用いた模様と高品質な編み糸で作られたストールやスカーフはいつの時代も色あせることなくお使いいただけます。</v>
          </cell>
          <cell r="G48" t="str">
            <v>g.h. hurt&amp;son,ジーエイチハートアンドサン,ニットレース,gh hurt,イギリス,ニットブランド,伝統的レースパターン</v>
          </cell>
          <cell r="H48" t="str">
            <v>'00603'</v>
          </cell>
          <cell r="I48">
            <v>115</v>
          </cell>
          <cell r="J48" t="str">
            <v>株式会社エヌディーシージャパン</v>
          </cell>
          <cell r="K48" t="str">
            <v>-</v>
          </cell>
          <cell r="L48" t="str">
            <v/>
          </cell>
          <cell r="M48" t="str">
            <v>-</v>
          </cell>
          <cell r="N48" t="str">
            <v>レディースストール</v>
          </cell>
          <cell r="R48" t="str">
            <v>WOMAN</v>
          </cell>
          <cell r="U48" t="str">
            <v>ファッション小物</v>
          </cell>
          <cell r="X48" t="str">
            <v>無し</v>
          </cell>
        </row>
        <row r="49">
          <cell r="A49" t="str">
            <v>GLUCKSKAFER</v>
          </cell>
          <cell r="B49" t="str">
            <v>グリュックスケーファー</v>
          </cell>
          <cell r="C49" t="str">
            <v>sh</v>
          </cell>
          <cell r="D49" t="str">
            <v>gluckskafer</v>
          </cell>
          <cell r="E49" t="str">
            <v>gluckskafer</v>
          </cell>
          <cell r="F49" t="str">
            <v>1945年にドイツで設立され、上質で子供に優しいオモチャを作り続け、ヨーロッパの保育園や幼稚園でも愛用されています。シンプルでいながらも安心した使い心地が人気です。</v>
          </cell>
          <cell r="G49" t="str">
            <v>gluckskafer,木 ままごと キッチン,ドイツ 木のおもちゃ,ままごとキッチン 木製,ままごとキッチン,木のおもちゃ おままごと,木 ままごと セット,木のおもちゃ ままごと,おままごと キッチン 木製,木のおもちゃ,おままごと ホーロー,木製玩具,木 おもちゃ ままごと,ままごとセット,木製おもちゃ,木のおもちゃ ままごと セット,木のおもちゃ ままごと キッチン,ベビー用ヘアブラシ,フェルトドール</v>
          </cell>
          <cell r="H49" t="str">
            <v>-</v>
          </cell>
          <cell r="I49">
            <v>123</v>
          </cell>
          <cell r="J49" t="str">
            <v>湘南インターナショナル株式会社</v>
          </cell>
          <cell r="K49" t="str">
            <v>toy brands/GLUCKSKAFER（グリュックスケーファー）</v>
          </cell>
          <cell r="L49" t="str">
            <v/>
          </cell>
          <cell r="M49" t="str">
            <v>http://www.lilietnene.com/fs/lilietnene/c/gluckskafer/</v>
          </cell>
          <cell r="N49" t="str">
            <v>キッズ玩具</v>
          </cell>
          <cell r="S49" t="str">
            <v>GOODS</v>
          </cell>
          <cell r="T49" t="str">
            <v>TOY</v>
          </cell>
          <cell r="U49" t="str">
            <v>玩具</v>
          </cell>
          <cell r="X49" t="str">
            <v/>
          </cell>
          <cell r="Z49" t="str">
            <v>シンプルでいながらも安心した使い心地が人気</v>
          </cell>
          <cell r="AA49" t="str">
            <v/>
          </cell>
          <cell r="AB49" t="str">
            <v/>
          </cell>
          <cell r="AC49" t="str">
            <v>9004016</v>
          </cell>
        </row>
        <row r="50">
          <cell r="A50" t="str">
            <v>GOLD</v>
          </cell>
          <cell r="B50" t="str">
            <v>ゴールド</v>
          </cell>
          <cell r="C50" t="str">
            <v>gd</v>
          </cell>
          <cell r="D50" t="str">
            <v>gold</v>
          </cell>
          <cell r="E50" t="str">
            <v>gold</v>
          </cell>
          <cell r="F50" t="str">
            <v>GOLDは、アントワープで学んだベルギーのデザイナー、Liz to Dirk によるベビー・キッズブランド。シンプルな中にもさり気なく個性的なアクセントを取り入れたアイテムがヨーロッパで人気を集めています。</v>
          </cell>
          <cell r="G50" t="str">
            <v>GOLD,ゴールド,ベルギー,子供服,ベビー服,通販,お洒落,デザイン</v>
          </cell>
          <cell r="H50" t="str">
            <v>'00601'</v>
          </cell>
          <cell r="I50">
            <v>517</v>
          </cell>
          <cell r="J50" t="str">
            <v>GOLD</v>
          </cell>
          <cell r="K50" t="str">
            <v>fashion brands/G/GOLD（ゴールド）</v>
          </cell>
          <cell r="L50">
            <v>0.39</v>
          </cell>
          <cell r="M50" t="str">
            <v>http://www.lilietnene.com/fs/lilietnene/c/gold/</v>
          </cell>
          <cell r="N50" t="str">
            <v>ベビー・キッズウエア</v>
          </cell>
          <cell r="O50" t="str">
            <v>BABY</v>
          </cell>
          <cell r="P50" t="str">
            <v>KIDS</v>
          </cell>
          <cell r="U50" t="str">
            <v>ウエア</v>
          </cell>
          <cell r="V50" t="str">
            <v>$SHOP$はGOLD（ゴールド）の正規販売通販サイトです。ベルギーのLIZ TO DIRKによるベビー&amp;キッズブランド。シンプルな中にもさり気なく個性的なアクセントを取り入れたアイテムが人気です。即日配送（一部地域）もご利用いただけます。</v>
          </cell>
          <cell r="X50" t="str">
            <v/>
          </cell>
          <cell r="Z50" t="str">
            <v>プリントや素材使いでベーシックなデザインを洗練させた、ゴールド</v>
          </cell>
          <cell r="AA50" t="str">
            <v>1003022</v>
          </cell>
          <cell r="AB50" t="str">
            <v/>
          </cell>
          <cell r="AC50" t="str">
            <v/>
          </cell>
        </row>
        <row r="51">
          <cell r="A51" t="str">
            <v>HARTFORD</v>
          </cell>
          <cell r="B51" t="str">
            <v>ハートフォード</v>
          </cell>
          <cell r="C51" t="str">
            <v>hf</v>
          </cell>
          <cell r="D51" t="str">
            <v>hartford</v>
          </cell>
          <cell r="E51" t="str">
            <v>hartford</v>
          </cell>
          <cell r="F51" t="str">
            <v>1979年にフランスで創立されたHartford。現在では『オルタナティブ・クラシックス』のポリシーで洗練されたリアルクローズコレクションを展開。キッズとレディースラインをセレクト。</v>
          </cell>
          <cell r="G51" t="str">
            <v>hartford,hartfordparis,ハートフォード,カジュアル おしゃれ,パリ　デザイナー,キッズ 通販,レディース 通販,ティーン 通販</v>
          </cell>
          <cell r="H51" t="str">
            <v>'00705'</v>
          </cell>
          <cell r="I51">
            <v>518</v>
          </cell>
          <cell r="J51" t="str">
            <v>HARTFORD</v>
          </cell>
          <cell r="K51" t="str">
            <v>fashion brands/H/HARTFORD（ハートフォード）</v>
          </cell>
          <cell r="M51" t="str">
            <v>http://www.lilietnene.com/fs/lilietnene/c/hartford/</v>
          </cell>
          <cell r="N51" t="str">
            <v>キッズ・レディースウエア</v>
          </cell>
          <cell r="O51" t="str">
            <v>BABY</v>
          </cell>
          <cell r="P51" t="str">
            <v>KIDS</v>
          </cell>
          <cell r="U51" t="str">
            <v>ウエア</v>
          </cell>
          <cell r="V51" t="str">
            <v>$SHOP$はHARTFORDの正規販売通販サイトです。ニューヨークでインスピレーションを受け、1979年にフランスでスタートしたハートフォード。キッズ・レディースを中心に洗練されたリアルクローズを展開。即日配送（一部地域）もご利用いただけます。</v>
          </cell>
          <cell r="X51" t="str">
            <v/>
          </cell>
          <cell r="Z51" t="str">
            <v>パリのシンプル＆ベーシックカジュアル、ハートフォード</v>
          </cell>
          <cell r="AA51" t="str">
            <v>1002015</v>
          </cell>
          <cell r="AB51" t="str">
            <v>2001006</v>
          </cell>
          <cell r="AC51" t="str">
            <v/>
          </cell>
        </row>
        <row r="52">
          <cell r="A52" t="str">
            <v>HELEN KAMINSKI</v>
          </cell>
          <cell r="B52" t="str">
            <v>ヘレンカミンスキー</v>
          </cell>
          <cell r="C52" t="str">
            <v>hk</v>
          </cell>
          <cell r="D52" t="str">
            <v>helenkaminski</v>
          </cell>
          <cell r="E52" t="str">
            <v>helenkaminski</v>
          </cell>
          <cell r="F52" t="str">
            <v>ヘレンカミンスキーは1983年オーストラリアでスタートしたブランド。ラフィアハットを中心に、天然素材と伝統的な手作りの製法、モダンなデザインと機能性にこだわったアイテムを展開。</v>
          </cell>
          <cell r="G52" t="str">
            <v>ヘレンカミンスキー,helenkaminski,ラフィアハット,帽子,ラフィア,オーストラリア,vogue掲載</v>
          </cell>
          <cell r="H52" t="str">
            <v>00706'</v>
          </cell>
          <cell r="I52">
            <v>148</v>
          </cell>
          <cell r="J52" t="str">
            <v>インターブリッジ株式会社</v>
          </cell>
          <cell r="K52" t="str">
            <v>fashion brands/H/HELEN KAMINSKI（ヘレンカミンスキー）</v>
          </cell>
          <cell r="M52" t="str">
            <v>http://www.lilietnene.com/fs/lilietnene/c/helenkaminski/</v>
          </cell>
          <cell r="N52" t="str">
            <v>レディースバッグ・帽子</v>
          </cell>
          <cell r="R52" t="str">
            <v>WOMAN</v>
          </cell>
          <cell r="U52" t="str">
            <v>ハット</v>
          </cell>
          <cell r="V52" t="str">
            <v>$SHOP$はHELEN KAMINSKIの正規販売通販サイトです。ラフィアハットを中心に、天然素材と伝統的な手作りの製法、モダンなデザインと機能性にこだわったアイテムを展開するヘレン・カミンスキー。即日配送（一部地域）もご利用いただけます。</v>
          </cell>
          <cell r="W52" t="str">
            <v>18SS</v>
          </cell>
          <cell r="X52" t="str">
            <v/>
          </cell>
          <cell r="Z52" t="str">
            <v>高いデザイン性、丸めてもOKなラフィアハットが人気のヘレンカミンスキー</v>
          </cell>
          <cell r="AA52" t="str">
            <v/>
          </cell>
          <cell r="AB52" t="str">
            <v>2002013</v>
          </cell>
          <cell r="AC52" t="str">
            <v/>
          </cell>
        </row>
        <row r="53">
          <cell r="A53" t="str">
            <v>HUBSCH</v>
          </cell>
          <cell r="B53" t="str">
            <v>ヒュプシュ</v>
          </cell>
          <cell r="C53" t="str">
            <v>hb</v>
          </cell>
          <cell r="D53" t="str">
            <v>hubsch</v>
          </cell>
          <cell r="E53" t="str">
            <v>hubsch</v>
          </cell>
          <cell r="F53" t="str">
            <v>Hubsch（ヒュプシュ）は、デンマークのインテリアブランド。Happinessをキーワードに、ハイクオリティなインテリアデザインを独自のスタイルで手掛けています。ディテールにこだわったコレクションは、使う人々の視点に立ち作り上げられています。</v>
          </cell>
          <cell r="G53" t="str">
            <v>hubsch,ヒュプシュ,インテリア雑貨 通販,生活雑貨 通販,北欧雑貨 通販,デンマーク インテリア,おしゃれな雑貨</v>
          </cell>
          <cell r="H53" t="str">
            <v>00707'</v>
          </cell>
          <cell r="I53">
            <v>559</v>
          </cell>
          <cell r="J53" t="str">
            <v>HUBSCH</v>
          </cell>
          <cell r="K53" t="str">
            <v>zakka brands/HUBSCH（ヒュプシュ）</v>
          </cell>
          <cell r="M53" t="str">
            <v>http://www.lilietnene.com/fs/lilietnene/c/hubsch</v>
          </cell>
          <cell r="N53" t="str">
            <v>インテリア雑貨</v>
          </cell>
          <cell r="S53" t="str">
            <v>GOODS</v>
          </cell>
          <cell r="U53" t="str">
            <v>インテリア・ハウスウエア</v>
          </cell>
          <cell r="X53" t="str">
            <v/>
          </cell>
          <cell r="Z53" t="str">
            <v>スタイリッシュな北欧のインテリアブランド「ヒュプシュ」</v>
          </cell>
          <cell r="AA53" t="str">
            <v/>
          </cell>
          <cell r="AB53" t="str">
            <v/>
          </cell>
          <cell r="AC53" t="str">
            <v>9001001</v>
          </cell>
        </row>
        <row r="54">
          <cell r="A54" t="str">
            <v>HUMANOID</v>
          </cell>
          <cell r="B54" t="str">
            <v>ヒューマノイド</v>
          </cell>
          <cell r="C54" t="str">
            <v>hm</v>
          </cell>
          <cell r="D54" t="str">
            <v>humanoid</v>
          </cell>
          <cell r="E54" t="str">
            <v>humanoid</v>
          </cell>
          <cell r="F54" t="str">
            <v>1981年よりスタートしたオランダのブランド。シックなカラーリングと上質な素材感、またシンプルでありながらフェミニンな立体感のある独特なシルエットで、ヨーロッパの女性を魅了しています。</v>
          </cell>
          <cell r="G54" t="str">
            <v>ヒューマノイド, humanoid 通販,humanoid オランダ</v>
          </cell>
          <cell r="H54" t="str">
            <v>'00704'</v>
          </cell>
          <cell r="I54">
            <v>519</v>
          </cell>
          <cell r="J54" t="str">
            <v>HUMANOID</v>
          </cell>
          <cell r="K54" t="str">
            <v>fashion brands/H/HUMANOID（ヒューマノイド）</v>
          </cell>
          <cell r="M54" t="str">
            <v>http://www.lilietnene.com/fs/lilietnene/c/humanoid/</v>
          </cell>
          <cell r="N54" t="str">
            <v>レディースウエア</v>
          </cell>
          <cell r="R54" t="str">
            <v>WOMAN</v>
          </cell>
          <cell r="U54" t="str">
            <v>ウエア</v>
          </cell>
          <cell r="V54"/>
          <cell r="X54" t="str">
            <v/>
          </cell>
          <cell r="Z54" t="str">
            <v>シンプルでありながらフェミニンなデザインが好評のヒューマノイド</v>
          </cell>
          <cell r="AA54" t="str">
            <v/>
          </cell>
          <cell r="AB54" t="str">
            <v>2005043</v>
          </cell>
          <cell r="AC54" t="str">
            <v/>
          </cell>
        </row>
        <row r="55">
          <cell r="A55" t="str">
            <v>IMPS &amp; ELFS</v>
          </cell>
          <cell r="B55" t="str">
            <v>インプスアンドエルフス</v>
          </cell>
          <cell r="C55" t="str">
            <v>im</v>
          </cell>
          <cell r="D55" t="str">
            <v>impselfs</v>
          </cell>
          <cell r="E55" t="str">
            <v>impselfs</v>
          </cell>
          <cell r="F55" t="str">
            <v>1997年に誕生したオランダ発の子供服ブランド。子供の体型を研究して作られるアイテムはシンプルながら体を通す事でシルエットの良さを実感出来るコレクションを展開。</v>
          </cell>
          <cell r="H55" t="str">
            <v>'00806'</v>
          </cell>
          <cell r="I55">
            <v>520</v>
          </cell>
          <cell r="J55" t="str">
            <v>IMPS&amp;ELFS</v>
          </cell>
          <cell r="K55" t="str">
            <v>fashion brands/I/IMPS &amp; ELFS（インプス アンド エルフス）</v>
          </cell>
          <cell r="L55" t="str">
            <v/>
          </cell>
          <cell r="M55" t="str">
            <v>http://www.lilietnene.com/fs/lilietnene/c/impselfs/</v>
          </cell>
          <cell r="N55" t="str">
            <v>キッズウエア</v>
          </cell>
          <cell r="P55" t="str">
            <v>KIDS</v>
          </cell>
          <cell r="U55" t="str">
            <v>ウエア</v>
          </cell>
          <cell r="W55"/>
          <cell r="X55" t="str">
            <v>無し</v>
          </cell>
        </row>
        <row r="56">
          <cell r="A56" t="str">
            <v>IRIS HANTVERK</v>
          </cell>
          <cell r="B56" t="str">
            <v>イリスハントバーク</v>
          </cell>
          <cell r="C56" t="str">
            <v>ir</v>
          </cell>
          <cell r="D56" t="str">
            <v>irishantverk</v>
          </cell>
          <cell r="E56" t="str">
            <v>irishantverk</v>
          </cell>
          <cell r="F56" t="str">
            <v>100年以上の歴史をもつスウェーデンのメーカー、イリス・ハントバーク。職人のハンドメイドによるハイクオリティな製品は、国内で活躍する若手デザイナーを起用しているので伝統的でありながらモダンな北欧らしいデザインになっています。</v>
          </cell>
          <cell r="G56" t="str">
            <v>iris hantverk,イリス・ハントバーク,雑貨　北欧,北欧雑貨,北欧,スウェーデン,ブラシメーカー,北欧雑貨,HANTVERK,手工芸</v>
          </cell>
          <cell r="H56" t="str">
            <v>'00803'</v>
          </cell>
          <cell r="I56">
            <v>552</v>
          </cell>
          <cell r="J56" t="str">
            <v>IRIS HANTVERG</v>
          </cell>
          <cell r="K56" t="str">
            <v>zakka brands/IRIS HANTVERK（イリス・ハントバーク）</v>
          </cell>
          <cell r="L56" t="str">
            <v/>
          </cell>
          <cell r="M56" t="str">
            <v>http://www.lilietnene.com/fs/lilietnene/c/irishantverk/</v>
          </cell>
          <cell r="N56" t="str">
            <v>インテリア雑貨</v>
          </cell>
          <cell r="S56" t="str">
            <v>GOODS</v>
          </cell>
          <cell r="U56" t="str">
            <v>インテリア・ハウスウエア</v>
          </cell>
          <cell r="X56" t="str">
            <v/>
          </cell>
          <cell r="Z56" t="str">
            <v>100年以上の歴史をもつスウェーデンのメーカー、イリス・ハントバーク</v>
          </cell>
          <cell r="AA56" t="str">
            <v/>
          </cell>
          <cell r="AB56" t="str">
            <v/>
          </cell>
          <cell r="AC56" t="str">
            <v>9001002</v>
          </cell>
        </row>
        <row r="57">
          <cell r="A57" t="str">
            <v>JAMIN PUECH</v>
          </cell>
          <cell r="B57" t="str">
            <v>ジャマンピエッシュ</v>
          </cell>
          <cell r="C57" t="str">
            <v>hp</v>
          </cell>
          <cell r="D57" t="str">
            <v>jaminpuech</v>
          </cell>
          <cell r="E57" t="str">
            <v>jaminpuech</v>
          </cell>
          <cell r="F57" t="str">
            <v>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v>
          </cell>
          <cell r="G57" t="str">
            <v>JAMIN PUECH,ジャマン・ピュエッシュ,パリ,バッグ,HP,通販,お洒落,人気,デザイナー,個性的</v>
          </cell>
          <cell r="H57" t="str">
            <v>'00903'</v>
          </cell>
          <cell r="I57">
            <v>111</v>
          </cell>
          <cell r="J57" t="str">
            <v>アッシュ・ペー・フランス株式会社</v>
          </cell>
          <cell r="K57" t="str">
            <v>fashion brands/J /JAMIN PUECH（ジャマン・ピュエッシュ）</v>
          </cell>
          <cell r="L57">
            <v>0.6</v>
          </cell>
          <cell r="M57" t="str">
            <v>http://www.lilietnene.com/fs/lilietnene/c/jaminpuech/</v>
          </cell>
          <cell r="N57" t="str">
            <v>レディースバッグ</v>
          </cell>
          <cell r="R57" t="str">
            <v>WOMAN</v>
          </cell>
          <cell r="U57" t="str">
            <v>バッグ</v>
          </cell>
          <cell r="V57" t="str">
            <v>$SHOP$はJAMIN PUECHの正規販売通販サイトです。パリ在住のブノア・ジャマンとイザベル・マリー・ピュエッシュが手がける、オリジナリティあふれる素材、伝統的な職人芸を探求したコレクションが人気。即日配送（一部地域）もご利用いただけます。</v>
          </cell>
          <cell r="X57" t="str">
            <v/>
          </cell>
          <cell r="Z57" t="str">
            <v>パリ発の現代的な感覚のコレクションが人気</v>
          </cell>
          <cell r="AA57" t="str">
            <v/>
          </cell>
          <cell r="AB57" t="str">
            <v>2002014</v>
          </cell>
          <cell r="AC57" t="str">
            <v/>
          </cell>
        </row>
        <row r="58">
          <cell r="A58" t="str">
            <v>JESS BROWN</v>
          </cell>
          <cell r="B58" t="str">
            <v>ジェスブラウン</v>
          </cell>
          <cell r="C58" t="str">
            <v>jb</v>
          </cell>
          <cell r="D58" t="str">
            <v>jess</v>
          </cell>
          <cell r="E58" t="str">
            <v>jessbrown</v>
          </cell>
          <cell r="F58" t="str">
            <v>サンフランシスコの人形作家JESSBROWNによるブランド。こだわりのヴィンテージ素材を使用し、染色から縫製まですべてハンドメイドの人形はインテリアにもピッタリです。最近はbottegavenetaとのコラボレーションでも有名。</v>
          </cell>
          <cell r="H58" t="str">
            <v>'00904'</v>
          </cell>
          <cell r="I58">
            <v>521</v>
          </cell>
          <cell r="J58" t="str">
            <v>JESS BROWN</v>
          </cell>
          <cell r="K58" t="str">
            <v>zakka brands/jess brown（ジェス・ブラウン）</v>
          </cell>
          <cell r="L58">
            <v>0.42</v>
          </cell>
          <cell r="M58" t="str">
            <v>-</v>
          </cell>
          <cell r="N58" t="str">
            <v>アート・オブジェ</v>
          </cell>
          <cell r="S58" t="str">
            <v>GOODS</v>
          </cell>
          <cell r="U58" t="str">
            <v>アート・オブジェ</v>
          </cell>
          <cell r="X58" t="str">
            <v/>
          </cell>
          <cell r="Z58" t="str">
            <v>サンフランシスコの人形作家JESSBROWNによるブランド</v>
          </cell>
          <cell r="AA58" t="str">
            <v/>
          </cell>
          <cell r="AB58" t="str">
            <v/>
          </cell>
          <cell r="AC58" t="str">
            <v>9001010</v>
          </cell>
        </row>
        <row r="59">
          <cell r="A59" t="str">
            <v>JOHN SMEDLEY</v>
          </cell>
          <cell r="B59" t="str">
            <v>ジョンスメドレー</v>
          </cell>
          <cell r="C59" t="str">
            <v>js</v>
          </cell>
          <cell r="D59" t="str">
            <v>johnsmedley</v>
          </cell>
          <cell r="E59" t="str">
            <v>johnsmedley</v>
          </cell>
          <cell r="F59" t="str">
            <v>ジョン・スメドレーは、２世紀以上に渡る歴史と伝統が築き上げた高い技術でハイクオリティなニット製品を作り続けているイギリスのブランド。イギリス王室御用達のブランドで、セレブの愛用者が多いといわれています。</v>
          </cell>
          <cell r="G59" t="str">
            <v>john smedley,ジョンスメドレー,ジョンスメドレー 通販,john smedley 通販,john smedly,ジョンス,jhon smedley,スメドレー,スメドレー ニット,ジョンスメドレー カーディガン,ジョンスメドレー サイズ,john smedley サイズ,john smedley ジョンスメドレー,ジョン・スメドレー,john smedley カーディガン,イギリス,イギリス王室御用達</v>
          </cell>
          <cell r="H59" t="str">
            <v>'00902'</v>
          </cell>
          <cell r="I59">
            <v>115</v>
          </cell>
          <cell r="J59" t="str">
            <v>株式会社エヌディーシージャパン</v>
          </cell>
          <cell r="K59" t="str">
            <v>fashion brands/J /JOHN SMEDLEY（ジョンスメドレー）</v>
          </cell>
          <cell r="L59">
            <v>0.57999999999999996</v>
          </cell>
          <cell r="M59" t="str">
            <v>http://www.lilietnene.com/fs/lilietnene/c/johnsmedley/</v>
          </cell>
          <cell r="N59" t="str">
            <v>レディースウエア</v>
          </cell>
          <cell r="R59" t="str">
            <v>WOMAN</v>
          </cell>
          <cell r="U59" t="str">
            <v>ウエア</v>
          </cell>
          <cell r="X59" t="str">
            <v/>
          </cell>
          <cell r="Z59" t="str">
            <v>ハイクオリティな英国の老舗ニットブランド</v>
          </cell>
          <cell r="AA59" t="str">
            <v/>
          </cell>
          <cell r="AB59" t="str">
            <v>2004034</v>
          </cell>
          <cell r="AC59" t="str">
            <v/>
          </cell>
        </row>
        <row r="60">
          <cell r="A60" t="str">
            <v>KALLISTO</v>
          </cell>
          <cell r="B60" t="str">
            <v>カリスト</v>
          </cell>
          <cell r="C60" t="str">
            <v>nk</v>
          </cell>
          <cell r="D60" t="str">
            <v>kallisto</v>
          </cell>
          <cell r="E60" t="str">
            <v>kallisto</v>
          </cell>
          <cell r="F60" t="str">
            <v>ベルリンの工房で作られるカリストのテディベアは、自然素材を用いてハンドメイドで丁寧に作られています。小さな工房ながら、1995年ヨーロッパ全土のぬいぐるみの品質検査コンペで１位を獲得。ヨーロッパが誇る指折りのぬいぐるみメーカー。</v>
          </cell>
          <cell r="G60" t="str">
            <v>kallisto,カリスト,カリスト ぬいぐるみ,テディベア,オルゴールねむりぞう,オルゴールねむりくま,テディベア・マチュウ,テディベア・モーリス,テディベア・ジャック</v>
          </cell>
          <cell r="H60" t="str">
            <v>'01003'</v>
          </cell>
          <cell r="I60">
            <v>127</v>
          </cell>
          <cell r="J60" t="str">
            <v>株式会社アトリエニキティキ</v>
          </cell>
          <cell r="K60" t="str">
            <v>toy brands/KALLISTO（カリスト）</v>
          </cell>
          <cell r="L60" t="str">
            <v/>
          </cell>
          <cell r="M60" t="str">
            <v>http://www.lilietnene.com/fs/lilietnene/c/kallisto/</v>
          </cell>
          <cell r="N60" t="str">
            <v>ベビー・キッズ玩具</v>
          </cell>
          <cell r="S60" t="str">
            <v>GOODS</v>
          </cell>
          <cell r="U60" t="str">
            <v>玩具</v>
          </cell>
          <cell r="X60" t="str">
            <v/>
          </cell>
          <cell r="Z60" t="str">
            <v>自然素材を用いてハンドメイドで丁寧に作られるカリストのテディベア</v>
          </cell>
          <cell r="AA60" t="str">
            <v/>
          </cell>
          <cell r="AB60" t="str">
            <v/>
          </cell>
          <cell r="AC60" t="str">
            <v>9004010</v>
          </cell>
        </row>
        <row r="61">
          <cell r="A61" t="str">
            <v>KATHE KRUSE</v>
          </cell>
          <cell r="B61" t="str">
            <v>ケテクルーゼ</v>
          </cell>
          <cell r="C61" t="str">
            <v>nk</v>
          </cell>
          <cell r="D61" t="str">
            <v>kathekruse</v>
          </cell>
          <cell r="E61" t="str">
            <v>kathekruse</v>
          </cell>
          <cell r="F61" t="str">
            <v>1910年、Kaethe Kruse夫人が手作りおもちゃ展に出品した人形が評判となり、ドイツの代表的人形としての地位を確立。『手のぬくもりは心に必ず通じるものであり、それが一番シンプルに形に表せるものして「人形」ほど説得力があるものは他にない』という夫人の信条は今も引き継がれています。</v>
          </cell>
          <cell r="G61" t="str">
            <v>kathe kruse,ケテ・クルーゼ,チェリーピロー,木のおもちゃ,ドイツ　ぬいぐるみ,布おもちゃ,人形　ぬいぐるみ,チェリーストーンピロー</v>
          </cell>
          <cell r="H61" t="str">
            <v>01010'</v>
          </cell>
          <cell r="I61">
            <v>127</v>
          </cell>
          <cell r="J61" t="str">
            <v>株式会社アトリエニキティキ</v>
          </cell>
          <cell r="K61" t="str">
            <v>toy brands/KATHE KRUSE（ケテ・クルーゼ）</v>
          </cell>
          <cell r="L61" t="str">
            <v/>
          </cell>
          <cell r="M61" t="str">
            <v>http://www.lilietnene.com/fs/lilietnene/c/kathekruse/</v>
          </cell>
          <cell r="N61" t="str">
            <v>ベビー・キッズ玩具</v>
          </cell>
          <cell r="S61" t="str">
            <v>GOODS</v>
          </cell>
          <cell r="U61" t="str">
            <v>玩具</v>
          </cell>
          <cell r="X61" t="str">
            <v/>
          </cell>
          <cell r="Z61" t="str">
            <v>"手のぬくもりは心に通じる"というKaethe Kruse夫人の信条を現代に引き継ぐドイツの老舗メーカー</v>
          </cell>
          <cell r="AA61" t="str">
            <v/>
          </cell>
          <cell r="AB61" t="str">
            <v/>
          </cell>
          <cell r="AC61" t="str">
            <v>9004011</v>
          </cell>
        </row>
        <row r="62">
          <cell r="A62" t="str">
            <v>KHADI &amp; CO</v>
          </cell>
          <cell r="B62" t="str">
            <v>カディアンドコー</v>
          </cell>
          <cell r="C62" t="str">
            <v>kh</v>
          </cell>
          <cell r="D62" t="str">
            <v>khadiandco</v>
          </cell>
          <cell r="E62" t="str">
            <v>khadiandco</v>
          </cell>
          <cell r="F62" t="str">
            <v>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v>
          </cell>
          <cell r="G62" t="str">
            <v>KHADI &amp; CO,カディー＆コー,ベス・ニールセン,パリ,デンマーク,EPICE,バッグ,ワッフルタオル,ワンピース,ストール,通販,bess nielsen</v>
          </cell>
          <cell r="H62" t="str">
            <v>'01007'</v>
          </cell>
          <cell r="I62">
            <v>523</v>
          </cell>
          <cell r="J62" t="str">
            <v>KHADI &amp; CO</v>
          </cell>
          <cell r="K62" t="str">
            <v>fashion brands/K/KHADI &amp; CO（カディー＆コー）</v>
          </cell>
          <cell r="L62" t="str">
            <v/>
          </cell>
          <cell r="M62" t="str">
            <v>http://www.lilietnene.com/fs/lilietnene/c/khadiandco/</v>
          </cell>
          <cell r="N62" t="str">
            <v>レディースウエア、ライフスタイル雑貨</v>
          </cell>
          <cell r="R62" t="str">
            <v>WOMAN</v>
          </cell>
          <cell r="S62" t="str">
            <v>GOODS</v>
          </cell>
          <cell r="U62" t="str">
            <v>ファッション小物・グッズ</v>
          </cell>
          <cell r="X62" t="str">
            <v/>
          </cell>
          <cell r="Z62" t="str">
            <v>EPICEのデザイナー、Bess Nielseが立ち上げたファブリックブランド</v>
          </cell>
          <cell r="AA62" t="str">
            <v/>
          </cell>
          <cell r="AB62" t="str">
            <v>2003025</v>
          </cell>
          <cell r="AC62" t="str">
            <v>9001006</v>
          </cell>
        </row>
        <row r="63">
          <cell r="A63" t="str">
            <v>KETIKETA</v>
          </cell>
          <cell r="B63" t="str">
            <v>ケティケタ</v>
          </cell>
          <cell r="C63" t="str">
            <v>kk</v>
          </cell>
          <cell r="D63" t="str">
            <v>ketiketa</v>
          </cell>
          <cell r="E63" t="str">
            <v>ketiketa</v>
          </cell>
          <cell r="F63" t="str">
            <v>ネパール語で女の子と男の子を意味するフランスのブランド、KETIKETA。ネパールの伝統的なテキスタイルや材料を使って、ベビー＆子供服や寝具、アクセサリーを作っています。</v>
          </cell>
          <cell r="G63" t="str">
            <v>KETIKETA,ケティケタ,パリ,子供服,ベビー服,ネパール,エスニック,ギフト,ガーランド,ベビーインテリア,インテリア,通販,クッション,プレイマット,ブランケット</v>
          </cell>
          <cell r="H63" t="str">
            <v>'01002'</v>
          </cell>
          <cell r="I63">
            <v>522</v>
          </cell>
          <cell r="J63" t="str">
            <v>KETIKETA</v>
          </cell>
          <cell r="K63" t="str">
            <v>fashion brands/K/KETIKETA（ケティケタ）</v>
          </cell>
          <cell r="L63">
            <v>0.38</v>
          </cell>
          <cell r="M63" t="str">
            <v>http://www.lilietnene.com/fs/lilietnene/c/ketiketa/</v>
          </cell>
          <cell r="N63" t="str">
            <v>ベビー・キッズウエア・雑貨</v>
          </cell>
          <cell r="O63" t="str">
            <v>BABY</v>
          </cell>
          <cell r="P63" t="str">
            <v>KIDS</v>
          </cell>
          <cell r="U63" t="str">
            <v>ウエア・雑貨</v>
          </cell>
          <cell r="V63" t="str">
            <v>$SHOP$はKETIKETAの正規販売通販サイトです。ネパール語で女の子と男の子を意味するフランスのブランド、ケティケタ。ネパールの伝統的なテキスタイルや手法を使って、子供服や雑貨を作っています。即日配送（一部地域）もご利用いただけます。</v>
          </cell>
          <cell r="X63" t="str">
            <v/>
          </cell>
          <cell r="Z63" t="str">
            <v>ミックスカルチャーからインスパイアされたデザインが魅力のケティケタ</v>
          </cell>
          <cell r="AA63" t="str">
            <v>1002016</v>
          </cell>
          <cell r="AB63" t="str">
            <v/>
          </cell>
          <cell r="AC63" t="str">
            <v/>
          </cell>
        </row>
        <row r="64">
          <cell r="A64" t="str">
            <v>KIENER</v>
          </cell>
          <cell r="B64" t="str">
            <v>キーナー</v>
          </cell>
          <cell r="C64" t="str">
            <v>nk</v>
          </cell>
          <cell r="D64" t="str">
            <v>kiener</v>
          </cell>
          <cell r="E64" t="str">
            <v>kiener</v>
          </cell>
          <cell r="F64" t="str">
            <v>カトリン・キーナーが1973年にスイスで創業したおもちゃ作りの会社。チューリッヒ郊外にある木工所で手作りされたオモチャは、子どもたちの好きなのりものや動物、身近なものをモチーフに、素朴で温か味があり、今ではヨーロッパをはじめ世界中の子供たちに愛されています。</v>
          </cell>
          <cell r="G64" t="str">
            <v>kiener,キーナー,木製玩具,木 おもちゃ,木のおもちゃ,カトリン・キーナー,スイス,陽がのぼるオルゴール,メモリーカード,バースディブック,蝶々モビール</v>
          </cell>
          <cell r="H64" t="str">
            <v>'01004'</v>
          </cell>
          <cell r="I64">
            <v>127</v>
          </cell>
          <cell r="J64" t="str">
            <v>株式会社アトリエニキティキ</v>
          </cell>
          <cell r="K64" t="str">
            <v>toy brands/KIENER（キーナー）</v>
          </cell>
          <cell r="L64" t="str">
            <v/>
          </cell>
          <cell r="M64" t="str">
            <v>http://www.lilietnene.com/fs/lilietnene/c/kiener/</v>
          </cell>
          <cell r="N64" t="str">
            <v>ベビー・キッズ玩具</v>
          </cell>
          <cell r="S64" t="str">
            <v>GOODS</v>
          </cell>
          <cell r="U64" t="str">
            <v>玩具</v>
          </cell>
          <cell r="X64" t="str">
            <v/>
          </cell>
          <cell r="Z64" t="str">
            <v>素朴で温か味があり、ヨーロッパをはじめ世界中の子供たちに愛されているキーナー</v>
          </cell>
          <cell r="AA64" t="str">
            <v/>
          </cell>
          <cell r="AB64" t="str">
            <v/>
          </cell>
          <cell r="AC64" t="str">
            <v>9004012</v>
          </cell>
        </row>
        <row r="65">
          <cell r="A65" t="str">
            <v>KIKO+</v>
          </cell>
          <cell r="B65" t="str">
            <v>キコ</v>
          </cell>
          <cell r="C65" t="str">
            <v>ki</v>
          </cell>
          <cell r="D65" t="str">
            <v>kiko</v>
          </cell>
          <cell r="E65" t="str">
            <v>kiko</v>
          </cell>
          <cell r="F65" t="str">
            <v>2011年１月 フランス パリで開催されたメゾン・エ・オブジェで発表しデビューした木製玩具やこども雑貨のブランドkiko+（キコ）。こどもたちの成長に合わせた、ゆたかな個性を育むユニークであたたかなおもちゃが特徴です。</v>
          </cell>
          <cell r="G65" t="str">
            <v>kiko,キコ,gg,ジジ,下駄,子供の下駄,アニマル,足跡</v>
          </cell>
          <cell r="H65" t="str">
            <v>01009'</v>
          </cell>
          <cell r="I65">
            <v>119</v>
          </cell>
          <cell r="J65" t="str">
            <v>株式会社KUKKIA</v>
          </cell>
          <cell r="K65" t="str">
            <v>toy brands/kiko+（キコ）</v>
          </cell>
          <cell r="L65">
            <v>0</v>
          </cell>
          <cell r="M65" t="str">
            <v>http://www.lilietnene.com/fs/lilietnene/c/kiko/</v>
          </cell>
          <cell r="N65" t="str">
            <v>キッズ玩具</v>
          </cell>
          <cell r="S65" t="str">
            <v>GOODS</v>
          </cell>
          <cell r="U65" t="str">
            <v>玩具</v>
          </cell>
          <cell r="X65" t="str">
            <v/>
          </cell>
          <cell r="Z65" t="str">
            <v>ゆたかな個性を育むユニークであたたかなおもちゃ</v>
          </cell>
          <cell r="AA65" t="str">
            <v/>
          </cell>
          <cell r="AB65" t="str">
            <v/>
          </cell>
          <cell r="AC65" t="str">
            <v>9004004</v>
          </cell>
        </row>
        <row r="66">
          <cell r="A66" t="str">
            <v>KOESEN</v>
          </cell>
          <cell r="B66" t="str">
            <v>ケーセン</v>
          </cell>
          <cell r="C66" t="str">
            <v>nk</v>
          </cell>
          <cell r="D66" t="str">
            <v>koesen</v>
          </cell>
          <cell r="E66" t="str">
            <v>koesen</v>
          </cell>
          <cell r="F66" t="str">
            <v>ドイツで一番美しい動物のぬいぐるみを作っていると言われるケーセン社は1912年に創業。実際の動物を描いたスケッチを元に型紙を制作し、１つ１つ手作りによって作られており、今や世界でもっとも注目されているぬいぐるみメーカーとして定評を得ています。</v>
          </cell>
          <cell r="G66" t="str">
            <v>ケーセン,ケーセン社,ケーセン社 ぬいぐるみ,動物 ぬいぐるみ,ドイツ　ぬいぐるみ,うさぎ ぬいぐるみ リアル,ケーセン ぬいぐるみ</v>
          </cell>
          <cell r="H66" t="str">
            <v>'01005'</v>
          </cell>
          <cell r="I66">
            <v>127</v>
          </cell>
          <cell r="J66" t="str">
            <v>株式会社アトリエニキティキ</v>
          </cell>
          <cell r="K66" t="str">
            <v>toy brands/KOESEN（ケーセン）</v>
          </cell>
          <cell r="L66" t="str">
            <v/>
          </cell>
          <cell r="M66" t="str">
            <v>http://www.lilietnene.com/fs/lilietnene/c/koesen/</v>
          </cell>
          <cell r="N66" t="str">
            <v>ベビー・キッズ玩具</v>
          </cell>
          <cell r="S66" t="str">
            <v>GOODS</v>
          </cell>
          <cell r="U66" t="str">
            <v>玩具</v>
          </cell>
          <cell r="X66" t="str">
            <v/>
          </cell>
          <cell r="Z66" t="str">
            <v>ドイツで一番美しい動物のぬいぐるみを作っていると言われるケーセン</v>
          </cell>
          <cell r="AA66" t="str">
            <v/>
          </cell>
          <cell r="AB66" t="str">
            <v/>
          </cell>
          <cell r="AC66" t="str">
            <v>9004009</v>
          </cell>
        </row>
        <row r="67">
          <cell r="A67" t="str">
            <v>KUSMI TEA</v>
          </cell>
          <cell r="B67" t="str">
            <v>クスミティ</v>
          </cell>
          <cell r="C67" t="str">
            <v>kt</v>
          </cell>
          <cell r="D67" t="str">
            <v>kusumitea</v>
          </cell>
          <cell r="E67" t="str">
            <v>kusmitea</v>
          </cell>
          <cell r="F67" t="str">
            <v>創業140年のロシア皇帝御用達の紅茶ブランド。ロシアで生まれて、フランスのフレーバーの伝統をいかした紅茶はフランス国内では知名度が高く、高品質なお茶として百貨店、ホテルなどで販売されています。香りを楽しむ紅茶として多くの人々に愛飲されています。</v>
          </cell>
          <cell r="G67" t="str">
            <v>kusmi tea,クスミティ,kusmi tea 通販,kusmi tea 販売,kusmitea,kusumi tea,kusmi tea paris,kusmi,フランス パリ,クスミティー,フランス　紅茶,クスミ,チョコレートスパイス,カシミール　チャイ,アイリッシュブレンド,ブケ・ド・フルール,ティタイムセット</v>
          </cell>
          <cell r="H67" t="str">
            <v>'01008'</v>
          </cell>
          <cell r="I67">
            <v>125</v>
          </cell>
          <cell r="J67" t="str">
            <v>高森清八郎商店</v>
          </cell>
          <cell r="K67" t="str">
            <v>zakka brands/KUSMI TEA（クスミティ）</v>
          </cell>
          <cell r="L67">
            <v>0.65</v>
          </cell>
          <cell r="M67" t="str">
            <v>-</v>
          </cell>
          <cell r="N67" t="str">
            <v>紅茶</v>
          </cell>
          <cell r="S67" t="str">
            <v>GOODS</v>
          </cell>
          <cell r="W67"/>
          <cell r="X67" t="str">
            <v>無し</v>
          </cell>
        </row>
        <row r="68">
          <cell r="A68" t="str">
            <v>LA BOTTEGA DI GIORGIA</v>
          </cell>
          <cell r="B68" t="str">
            <v>ラ・ボッテガ・ディ・ジョルジア</v>
          </cell>
          <cell r="C68" t="str">
            <v>lb</v>
          </cell>
          <cell r="D68" t="str">
            <v>labottegadigiorgia</v>
          </cell>
          <cell r="E68" t="str">
            <v>labottegadigiorgia</v>
          </cell>
          <cell r="F68" t="str">
            <v>素材の質を大切にしたイタリアのブランド、「La Bottega di Giorgia（ラ・ボッテガ・ジョルジア）」。子供思いのデザイナーはさりげない遊び心も大切にしており、着心地とデザイン性を兼ね備えたアイテムが揃っています。</v>
          </cell>
          <cell r="G68" t="str">
            <v>イタリアファッション,おしゃれ ファッション,ファッション 通販,キッズ おしゃれ</v>
          </cell>
          <cell r="H68" t="str">
            <v>'01114'</v>
          </cell>
          <cell r="I68">
            <v>524</v>
          </cell>
          <cell r="J68" t="str">
            <v>LA BOTTEGA DI GIORGIA</v>
          </cell>
          <cell r="K68" t="str">
            <v>fashion brands/L/LA BOTTEGA DI GIORGIA（ラ・ボッテガ・ジョルジア）</v>
          </cell>
          <cell r="M68" t="str">
            <v>http://www.lilietnene.com/fs/lilietnene/c/labottega-d/</v>
          </cell>
          <cell r="N68" t="str">
            <v>キッズウエア</v>
          </cell>
          <cell r="P68" t="str">
            <v>KIDS</v>
          </cell>
          <cell r="U68" t="str">
            <v>ウエア</v>
          </cell>
          <cell r="X68" t="str">
            <v/>
          </cell>
          <cell r="Z68" t="str">
            <v>素材の質を大切にしたイタリアのブランド</v>
          </cell>
          <cell r="AA68" t="str">
            <v>1005043</v>
          </cell>
          <cell r="AB68" t="str">
            <v/>
          </cell>
          <cell r="AC68" t="str">
            <v/>
          </cell>
        </row>
        <row r="69">
          <cell r="A69" t="str">
            <v>LA CERISE SUR LE GATEAU</v>
          </cell>
          <cell r="B69" t="str">
            <v>ラスリーズスールガトー</v>
          </cell>
          <cell r="C69" t="str">
            <v>lg</v>
          </cell>
          <cell r="D69" t="str">
            <v>lacerisesurlegateau</v>
          </cell>
          <cell r="E69" t="str">
            <v>lacerisesurlegateau</v>
          </cell>
          <cell r="F69" t="str">
            <v>2007年にアンヌ・ユベールによってスタートしたフランスのブランド。「LA CERISE SUR LE GATEAU」は「ケーキの上のさくらんぼ」という意味。クラシックなフランスのホームリネンを現代風にアレンジし、キュートでエスプリを効かせたデザインが人気。</v>
          </cell>
          <cell r="G69" t="str">
            <v>ラ・スリーズ・スール・ガトー,フランス雑貨,おしゃれ雑貨,アンヌユベール,ティータオル,クッション,ランドリーバッグ,フランス デザイナー 雑貨,テキスタイル フランス,おしゃれ 通販 雑貨,通販 インテリア,パリ お洒落</v>
          </cell>
          <cell r="H69" t="str">
            <v>'01115'</v>
          </cell>
          <cell r="I69">
            <v>111</v>
          </cell>
          <cell r="J69" t="str">
            <v>アッシュ・ペー・フランス株式会社</v>
          </cell>
          <cell r="K69" t="str">
            <v>zakka brands/LA CERISE SUR LE GATEAU</v>
          </cell>
          <cell r="L69">
            <v>0</v>
          </cell>
          <cell r="M69" t="str">
            <v>http://www.lilietnene.com/fs/lilietnene/c/lacerisesurlegateau/</v>
          </cell>
          <cell r="N69" t="str">
            <v>インテリア雑貨</v>
          </cell>
          <cell r="S69" t="str">
            <v>GOODS</v>
          </cell>
          <cell r="U69" t="str">
            <v>インテリア/ハウスウエア</v>
          </cell>
          <cell r="X69" t="str">
            <v/>
          </cell>
          <cell r="Z69" t="str">
            <v>クラシックなフランスのホームリネンを現代風にアレンジ</v>
          </cell>
          <cell r="AA69" t="str">
            <v/>
          </cell>
          <cell r="AB69" t="str">
            <v/>
          </cell>
          <cell r="AC69" t="str">
            <v>9001011</v>
          </cell>
        </row>
        <row r="70">
          <cell r="A70" t="str">
            <v>LAVENHAM</v>
          </cell>
          <cell r="B70" t="str">
            <v>ラベンハム</v>
          </cell>
          <cell r="C70" t="str">
            <v>lv</v>
          </cell>
          <cell r="D70" t="str">
            <v>lavenham</v>
          </cell>
          <cell r="E70" t="str">
            <v>lavenham</v>
          </cell>
          <cell r="F70" t="str">
            <v>キルティングジャケットのラベンハムは1969年、ロンドン郊外の小さな町ラベンハムで乗馬用のライディングウェアとしてスタート。現在は世界中で高いデザイン性と安定した品質で高い評価を得ています。</v>
          </cell>
          <cell r="G70" t="str">
            <v>LAVENHAM,ラベンハム,イギリス,キルティング,バッグ,キッズ,レディース,公式,通販,別注,リバティ,正規販売店</v>
          </cell>
          <cell r="H70" t="str">
            <v>'01101'</v>
          </cell>
          <cell r="I70">
            <v>144</v>
          </cell>
          <cell r="J70" t="str">
            <v>渡辺産業株式会社</v>
          </cell>
          <cell r="K70" t="str">
            <v>fashion brands/L/LAVENHAM（ラベンハム）</v>
          </cell>
          <cell r="L70">
            <v>0.56999999999999995</v>
          </cell>
          <cell r="M70" t="str">
            <v>http://www.lilietnene.com/fs/lilietnene/c/lavenham/</v>
          </cell>
          <cell r="N70" t="str">
            <v>キッズ・レディースウエア</v>
          </cell>
          <cell r="P70" t="str">
            <v>KIDS</v>
          </cell>
          <cell r="R70" t="str">
            <v>WOMAN</v>
          </cell>
          <cell r="U70" t="str">
            <v>ウエア</v>
          </cell>
          <cell r="V70" t="str">
            <v>$SHOP$はLAVENHAMの正規販売通販サイトです。1969年、ロンドン郊外の小さな町ラベンハムで乗馬用のライディングウェアとしてスタートしたラヴェンハム。当店別注モデルのキッズのキルティングジャケットやレディースバッグが人気です。即日配送（一部地域）もご利用いただけます。</v>
          </cell>
          <cell r="X70" t="str">
            <v/>
          </cell>
          <cell r="Z70" t="str">
            <v>英国の老舗ブランド、ラベンハム</v>
          </cell>
          <cell r="AA70" t="str">
            <v>1001006</v>
          </cell>
          <cell r="AB70" t="str">
            <v>2001004</v>
          </cell>
          <cell r="AC70" t="str">
            <v/>
          </cell>
        </row>
        <row r="71">
          <cell r="A71" t="str">
            <v>LES COYOTES DE PARIS</v>
          </cell>
          <cell r="B71" t="str">
            <v>レコヨーテドゥパリ</v>
          </cell>
          <cell r="C71" t="str">
            <v>ld</v>
          </cell>
          <cell r="D71" t="str">
            <v>lescoyotesdeparis</v>
          </cell>
          <cell r="E71" t="str">
            <v>lescoyotesdeparis</v>
          </cell>
          <cell r="F71" t="str">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ell>
          <cell r="G71" t="str">
            <v>LES COYOTES DE PARIS,レコヨーテドゥパリ 通販,女の子 服 通販,子供服 ブランド 女の子,レディース おしゃれ,シンプル ファッション,リンクコーデ,親子コーデ 通販</v>
          </cell>
          <cell r="H71" t="str">
            <v>01116'</v>
          </cell>
          <cell r="I71">
            <v>560</v>
          </cell>
          <cell r="J71" t="str">
            <v>LES COYOTES DE PARIS</v>
          </cell>
          <cell r="K71" t="str">
            <v>fashion brands/L/LES COYOTES DE PARIS（レコヨーテドゥパリ）</v>
          </cell>
          <cell r="M71" t="str">
            <v>http://www.lilietnene.com/fs/lilietnene/c/lescoyotesdeparis/</v>
          </cell>
          <cell r="N71" t="str">
            <v>キッズ・ティーン・レディースウエア</v>
          </cell>
          <cell r="P71" t="str">
            <v>KIDS</v>
          </cell>
          <cell r="Q71" t="str">
            <v>TEEN</v>
          </cell>
          <cell r="R71" t="str">
            <v>WOMAN</v>
          </cell>
          <cell r="U71" t="str">
            <v>ウエア</v>
          </cell>
          <cell r="V71" t="str">
            <v>$SHOP$はLES COYOTES DE PARISの正規販売通販サイトです。オランダのデザイナーによるキッズ&amp;レディースブランド。ノスタルジックな雰囲気とモダンなルックスをミックスさせたデザインが特徴。即日配送（一部地域）もご利用いただけます。</v>
          </cell>
          <cell r="X71" t="str">
            <v/>
          </cell>
          <cell r="Z71" t="str">
            <v>キッズからレディースまで揃う時代に流されないタイムレスなコレクション</v>
          </cell>
          <cell r="AA71" t="str">
            <v>1002013</v>
          </cell>
          <cell r="AB71" t="str">
            <v>2002016</v>
          </cell>
          <cell r="AC71" t="str">
            <v/>
          </cell>
        </row>
        <row r="72">
          <cell r="A72" t="str">
            <v>LEPETITSWIM</v>
          </cell>
          <cell r="B72" t="str">
            <v>レペティットスイム</v>
          </cell>
          <cell r="C72" t="str">
            <v>ls</v>
          </cell>
          <cell r="D72" t="str">
            <v>lepetitswim</v>
          </cell>
          <cell r="E72" t="str">
            <v>lepetitswim</v>
          </cell>
          <cell r="F72" t="str">
            <v>スペインのバロセロナのキッズ向けスウィムウェアブランド「レペティットスウィム」。主に4歳～16歳サイズの女の子向けのむミニマムでキュートな水着をラインナップ。</v>
          </cell>
          <cell r="H72" t="str">
            <v>'01112'</v>
          </cell>
          <cell r="I72" t="str">
            <v>-</v>
          </cell>
          <cell r="J72" t="str">
            <v/>
          </cell>
          <cell r="K72" t="str">
            <v>-</v>
          </cell>
          <cell r="L72">
            <v>0.57999999999999996</v>
          </cell>
          <cell r="M72" t="str">
            <v>-</v>
          </cell>
          <cell r="N72" t="str">
            <v>キッズスイムウエア</v>
          </cell>
          <cell r="P72" t="str">
            <v>KIDS</v>
          </cell>
          <cell r="U72" t="str">
            <v>ウエア</v>
          </cell>
          <cell r="X72" t="str">
            <v>無し</v>
          </cell>
        </row>
        <row r="73">
          <cell r="A73" t="str">
            <v>LIBERTY</v>
          </cell>
          <cell r="B73" t="str">
            <v>リバティ</v>
          </cell>
          <cell r="C73" t="str">
            <v>li</v>
          </cell>
          <cell r="D73" t="str">
            <v>liberty</v>
          </cell>
          <cell r="E73" t="str">
            <v>liberty</v>
          </cell>
          <cell r="F73" t="str">
            <v>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v>
          </cell>
          <cell r="G73" t="str">
            <v>LIBERTY,リバティ,子供服,ベビー服,通販,セール,SALE,ワンピース,出産祝い,ギフト,プレゼント,ロンドン</v>
          </cell>
          <cell r="H73" t="str">
            <v>'01107'</v>
          </cell>
          <cell r="I73">
            <v>526</v>
          </cell>
          <cell r="J73" t="str">
            <v>LIBERTY LONDON</v>
          </cell>
          <cell r="K73" t="str">
            <v>fashion brands/L/LIBERTY（リバティ）</v>
          </cell>
          <cell r="L73">
            <v>0.4</v>
          </cell>
          <cell r="M73" t="str">
            <v>http://www.lilietnene.com/fs/lilietnene/c/liberty/</v>
          </cell>
          <cell r="N73" t="str">
            <v>キッズウエア</v>
          </cell>
          <cell r="P73" t="str">
            <v>KIDS</v>
          </cell>
          <cell r="U73" t="str">
            <v>ウエア</v>
          </cell>
          <cell r="X73" t="str">
            <v/>
          </cell>
          <cell r="Z73" t="str">
            <v>華やかで伝統的なファブリックを生産し続けている英国のリバティ</v>
          </cell>
          <cell r="AA73" t="str">
            <v>1005047</v>
          </cell>
          <cell r="AB73" t="str">
            <v/>
          </cell>
          <cell r="AC73" t="str">
            <v/>
          </cell>
        </row>
        <row r="74">
          <cell r="A74" t="str">
            <v>LITTLE CREATIVE FACTORY</v>
          </cell>
          <cell r="B74" t="str">
            <v>リトル クリエイティブ ファクトリー</v>
          </cell>
          <cell r="C74" t="str">
            <v>lc</v>
          </cell>
          <cell r="D74" t="str">
            <v>littlecreativefactory</v>
          </cell>
          <cell r="E74" t="str">
            <v>littlecreativefactory</v>
          </cell>
          <cell r="F74" t="str">
            <v>スペインのハイエンドブランドLITTLE CREATIVE FACTORYは、“スローマニュファクチャー”をフィロソフィーとしてユニークなスタイルを貫くブランド。全てバルセロナでデザイン、生産されており、お洒落さと高い品質を保つ。流行に左右されず、着る人自身がアイデンティティーを創造できるよう、どんな年齢にも合うスタイルを提供している。</v>
          </cell>
          <cell r="H74" t="str">
            <v>'00300'</v>
          </cell>
          <cell r="I74">
            <v>527</v>
          </cell>
          <cell r="J74" t="str">
            <v>LITTLE CREATIVE FACTORY</v>
          </cell>
          <cell r="K74" t="str">
            <v>fashion brands/L/LITTLE CREATIVE FACTORY（リトル クリエイティブ ファクトリー）</v>
          </cell>
          <cell r="M74" t="str">
            <v>http://www.lilietnene.com/fs/lilietnene/c/littlecreativefactory/</v>
          </cell>
          <cell r="N74" t="str">
            <v>キッズスイムウエア</v>
          </cell>
          <cell r="P74" t="str">
            <v>KIDS</v>
          </cell>
          <cell r="U74" t="str">
            <v>ウエア</v>
          </cell>
          <cell r="W74"/>
          <cell r="X74" t="str">
            <v>無し</v>
          </cell>
        </row>
        <row r="75">
          <cell r="A75" t="str">
            <v>LITTLE MARC JACOBS</v>
          </cell>
          <cell r="B75" t="str">
            <v>リトルマークジェイコブス</v>
          </cell>
          <cell r="C75" t="str">
            <v>lm</v>
          </cell>
          <cell r="D75" t="str">
            <v>littlemarcjacobs</v>
          </cell>
          <cell r="E75" t="str">
            <v>littlemarcjacobs</v>
          </cell>
          <cell r="F75" t="str">
            <v>1986年ブランド設立され、遊び心のあるユーモアなセンスかつキュートなデザインで絶大なる人気を博すマークジェイコブス。2007年キッズラインであるLittleMarcJacobs(リトルマークジェイコブス)が立ち上がり、感度の高いファッション通からも高く支持されています。</v>
          </cell>
          <cell r="H75" t="str">
            <v>'01113'</v>
          </cell>
          <cell r="I75">
            <v>129</v>
          </cell>
          <cell r="J75" t="str">
            <v>株式会社ノーザンスカイ</v>
          </cell>
          <cell r="K75" t="str">
            <v>fashion brands/L/LITTLE MARC JACOBS（リトル マークジェイコブス）</v>
          </cell>
          <cell r="L75">
            <v>0.6</v>
          </cell>
          <cell r="M75" t="str">
            <v>http://www.lilietnene.com/fs/lilietnene/c/littlemarcjacobs/</v>
          </cell>
          <cell r="N75" t="str">
            <v>キッズウエア</v>
          </cell>
          <cell r="P75" t="str">
            <v>KIDS</v>
          </cell>
          <cell r="U75" t="str">
            <v>ウエア</v>
          </cell>
          <cell r="W75"/>
          <cell r="X75" t="str">
            <v>無し</v>
          </cell>
        </row>
        <row r="76">
          <cell r="A76" t="str">
            <v>LITTLE PAUL &amp; JOE</v>
          </cell>
          <cell r="B76" t="str">
            <v>リトルポールアンドジョー</v>
          </cell>
          <cell r="C76" t="str">
            <v>lp</v>
          </cell>
          <cell r="D76" t="str">
            <v>littlepauljoe</v>
          </cell>
          <cell r="E76" t="str">
            <v>littlepauljoe</v>
          </cell>
          <cell r="F76" t="str">
            <v>パリ生まれのデザイナー、ソフィー・アルブが二人の息子の名前を冠して生まれたファションブランドPAUL&amp;JOEのkidsライン。特徴的なプリントデザインとカッティング技術はそのままに、子供たちにも着心地の良いアイテムが揃っています。</v>
          </cell>
          <cell r="H76" t="str">
            <v>'01106'</v>
          </cell>
          <cell r="I76">
            <v>129</v>
          </cell>
          <cell r="J76" t="str">
            <v>株式会社ノーザンスカイ</v>
          </cell>
          <cell r="K76" t="str">
            <v>-</v>
          </cell>
          <cell r="L76">
            <v>0</v>
          </cell>
          <cell r="M76" t="str">
            <v>-</v>
          </cell>
          <cell r="N76" t="str">
            <v>キッズウエア</v>
          </cell>
          <cell r="P76" t="str">
            <v>KIDS</v>
          </cell>
          <cell r="U76" t="str">
            <v>ウエア</v>
          </cell>
          <cell r="W76"/>
          <cell r="X76" t="str">
            <v>無し</v>
          </cell>
        </row>
        <row r="77">
          <cell r="A77" t="str">
            <v>LONDON TRADITION</v>
          </cell>
          <cell r="B77" t="str">
            <v>ロンドントラディション</v>
          </cell>
          <cell r="C77" t="str">
            <v>lt</v>
          </cell>
          <cell r="D77" t="str">
            <v>londontradition</v>
          </cell>
          <cell r="E77" t="str">
            <v>londontradition</v>
          </cell>
          <cell r="F77" t="str">
            <v>英国のダッフルコートブランド『LONDONTRADITION』（ロンドントラディション）。今では数少ないロンドンの工場で伝統的な製法をもとに作られ、素材から革ひもまで全て質の高いものを使用しています。バーバリーのダッフルコート製造を請け負っていたメーカーだったことでも有名。</v>
          </cell>
          <cell r="G77" t="str">
            <v>LONDON TRADITION,ロンドントラディション,イギリス,ダッフルコート,ウールコート,英国製,通販,キッズ,子供服,レディース</v>
          </cell>
          <cell r="H77" t="str">
            <v>'01103'</v>
          </cell>
          <cell r="I77">
            <v>122</v>
          </cell>
          <cell r="J77" t="str">
            <v>有限会社シャドウ</v>
          </cell>
          <cell r="K77" t="str">
            <v>fashion brands/L/LONDON TRADITION（ロンドントラディション）</v>
          </cell>
          <cell r="L77">
            <v>0.57999999999999996</v>
          </cell>
          <cell r="M77" t="str">
            <v>http://www.lilietnene.com/fs/lilietnene/c/londontradition/</v>
          </cell>
          <cell r="N77" t="str">
            <v>キッズ・レディースウエア</v>
          </cell>
          <cell r="P77" t="str">
            <v>KIDS</v>
          </cell>
          <cell r="U77" t="str">
            <v>ウエア</v>
          </cell>
          <cell r="W77"/>
          <cell r="X77" t="str">
            <v>無し</v>
          </cell>
        </row>
        <row r="78">
          <cell r="A78" t="str">
            <v>LOVI</v>
          </cell>
          <cell r="B78" t="str">
            <v>ロディ</v>
          </cell>
          <cell r="C78" t="str">
            <v>lo</v>
          </cell>
          <cell r="D78" t="str">
            <v>lovi</v>
          </cell>
          <cell r="E78" t="str">
            <v>lovi</v>
          </cell>
          <cell r="F78" t="str">
            <v>デザイナー、アンネ・パソによるフィンランドのデザイン会社「lovi」。プライウッドのパーツで組み立てるグリーティングカードやツリーなど、ユニークなデザインプロダクツを創作しています。売上の一部が環境保全の植林活動に寄付されているなど環境・エコ活動にも寄与しています。</v>
          </cell>
          <cell r="G78" t="str">
            <v>lovi,ロヴィ,lovi ツリー,フィンランド,北欧雑貨,アンネ・パソ</v>
          </cell>
          <cell r="H78" t="str">
            <v>-</v>
          </cell>
          <cell r="I78">
            <v>900</v>
          </cell>
          <cell r="J78" t="str">
            <v>国内仕入（過去）</v>
          </cell>
          <cell r="K78" t="str">
            <v>-</v>
          </cell>
          <cell r="L78">
            <v>0.6</v>
          </cell>
          <cell r="M78" t="str">
            <v>-</v>
          </cell>
          <cell r="N78" t="str">
            <v>インテリア雑貨</v>
          </cell>
          <cell r="S78" t="str">
            <v>GOODS</v>
          </cell>
          <cell r="U78" t="str">
            <v>玩具</v>
          </cell>
          <cell r="W78"/>
          <cell r="X78" t="str">
            <v>無し</v>
          </cell>
        </row>
        <row r="79">
          <cell r="A79" t="str">
            <v>LYRA</v>
          </cell>
          <cell r="B79" t="str">
            <v>リラ</v>
          </cell>
          <cell r="C79" t="str">
            <v>ly</v>
          </cell>
          <cell r="D79" t="str">
            <v>lyra</v>
          </cell>
          <cell r="E79" t="str">
            <v>lyra</v>
          </cell>
          <cell r="F79" t="str">
            <v>創業200年の歴史を持つ鉛筆作りのマイスターです。現代教育学・人間工学に基づいて作られた丸みのある三角形の紺フォートグリップが特徴です。手の小さい方や左利きの方にはもちろんのこと、あらゆる方々に満足できる描き心地をお届けします。</v>
          </cell>
          <cell r="G79" t="str">
            <v>lyra,リラ,リラ社,文房具 通販,lyra 色鉛筆,リラ 色鉛筆,文具 通販,lyra 鉛筆削り,FERBY　ノーマル12色,FERBY　18本アソート,GROOVE　10本入り,ツインホールシャープナー,ペンシルホルダー</v>
          </cell>
          <cell r="H79" t="str">
            <v>'01109'</v>
          </cell>
          <cell r="I79">
            <v>116</v>
          </cell>
          <cell r="J79" t="str">
            <v>株式会社おもちゃ箱</v>
          </cell>
          <cell r="K79" t="str">
            <v>zakka brands/LYRA（リラ）</v>
          </cell>
          <cell r="L79">
            <v>0.65</v>
          </cell>
          <cell r="M79" t="str">
            <v>http://www.lilietnene.com/fs/lilietnene/c/lyra/</v>
          </cell>
          <cell r="N79" t="str">
            <v>ステーショナリー</v>
          </cell>
          <cell r="S79" t="str">
            <v>GOODS</v>
          </cell>
          <cell r="U79" t="str">
            <v>ステーショナリー</v>
          </cell>
          <cell r="X79" t="str">
            <v/>
          </cell>
          <cell r="Z79" t="str">
            <v>現代教育学・人間工学に基づいて作られた色鉛筆</v>
          </cell>
          <cell r="AA79" t="str">
            <v/>
          </cell>
          <cell r="AB79" t="str">
            <v/>
          </cell>
          <cell r="AC79" t="str">
            <v>9002012</v>
          </cell>
        </row>
        <row r="80">
          <cell r="A80" t="str">
            <v>MACON ET LESQUOY</v>
          </cell>
          <cell r="B80" t="str">
            <v>マコンレスコア</v>
          </cell>
          <cell r="C80" t="str">
            <v>ml</v>
          </cell>
          <cell r="D80" t="str">
            <v>maconetlesquoy</v>
          </cell>
          <cell r="E80" t="str">
            <v>maconetlesquoy</v>
          </cell>
          <cell r="F80" t="str">
            <v>2人のフランス人デザイナーが手掛けるアクセサリーブランド。マコン&amp;レスコアの伝統的なヨーロッパの刺繍技術は、アーミーの勲章に使われていたもので職人技が光る逸品。ブローチなどのアクセサリーが揃います。</v>
          </cell>
          <cell r="G80" t="str">
            <v>MACON ET LESQUOY,マコン&amp;レスコア,パリ,刺繍,アクセサリー,ブローチ,通販</v>
          </cell>
          <cell r="H80" t="str">
            <v>'01217'</v>
          </cell>
          <cell r="I80">
            <v>528</v>
          </cell>
          <cell r="J80" t="str">
            <v>MACON &amp; LESQUOY</v>
          </cell>
          <cell r="K80" t="str">
            <v>fashion brands/M/MACON ET LESQUOY（マコン&amp;レスコア）</v>
          </cell>
          <cell r="L80">
            <v>0</v>
          </cell>
          <cell r="M80" t="str">
            <v>http://www.lilietnene.com/fs/lilietnene/c/maconetlesquoy/</v>
          </cell>
          <cell r="N80" t="str">
            <v>アクセサリー</v>
          </cell>
          <cell r="S80" t="str">
            <v>GOODS</v>
          </cell>
          <cell r="U80" t="str">
            <v>アート・オブジェ</v>
          </cell>
          <cell r="X80" t="str">
            <v/>
          </cell>
          <cell r="Z80" t="str">
            <v>2人のフランス人デザイナーが手掛けるアクセサリー・オブジェブランド</v>
          </cell>
          <cell r="AA80" t="str">
            <v/>
          </cell>
          <cell r="AB80" t="str">
            <v/>
          </cell>
          <cell r="AC80" t="str">
            <v>9001013</v>
          </cell>
        </row>
        <row r="81">
          <cell r="A81" t="str">
            <v>MADAME POT</v>
          </cell>
          <cell r="B81" t="str">
            <v>マダムポット</v>
          </cell>
          <cell r="C81" t="str">
            <v>mm</v>
          </cell>
          <cell r="D81" t="str">
            <v>madamepot</v>
          </cell>
          <cell r="E81" t="str">
            <v>madamepot</v>
          </cell>
          <cell r="H81" t="str">
            <v>-</v>
          </cell>
          <cell r="I81">
            <v>529</v>
          </cell>
          <cell r="J81" t="str">
            <v>MADAME POT</v>
          </cell>
          <cell r="K81" t="str">
            <v>zakka brands/MADAME POT（マダムポット）</v>
          </cell>
          <cell r="M81" t="str">
            <v>-</v>
          </cell>
          <cell r="N81" t="str">
            <v>インテリア雑貨</v>
          </cell>
          <cell r="S81" t="str">
            <v>GOODS</v>
          </cell>
          <cell r="U81" t="str">
            <v>インテリア・ハウスウエア</v>
          </cell>
          <cell r="W81"/>
          <cell r="X81" t="str">
            <v>無し</v>
          </cell>
        </row>
        <row r="82">
          <cell r="A82" t="str">
            <v>MAJESTIC FILATURES</v>
          </cell>
          <cell r="B82" t="str">
            <v>マジェスティックフィラチュール</v>
          </cell>
          <cell r="C82" t="str">
            <v>mj</v>
          </cell>
          <cell r="D82" t="str">
            <v>majesticfilatures</v>
          </cell>
          <cell r="E82" t="str">
            <v>majesticfilatures</v>
          </cell>
          <cell r="F82" t="str">
            <v>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v>
          </cell>
          <cell r="G82" t="str">
            <v>MAJESTIC FILATURES,マジェスティック・フィラチュール,パリ,カットソー,定番,通販,レディース,</v>
          </cell>
          <cell r="H82" t="str">
            <v>'01216'</v>
          </cell>
          <cell r="I82">
            <v>530</v>
          </cell>
          <cell r="J82" t="str">
            <v>MAJESTIC</v>
          </cell>
          <cell r="K82" t="str">
            <v>fashion brands/M/MAJESTIC FILATURES（マジェスティック・フィラチュール）</v>
          </cell>
          <cell r="L82">
            <v>0.41</v>
          </cell>
          <cell r="M82" t="str">
            <v>http://www.lilietnene.com/fs/lilietnene/c/majesticfilatures/</v>
          </cell>
          <cell r="N82" t="str">
            <v>レディースウエア</v>
          </cell>
          <cell r="R82" t="str">
            <v>WOMAN</v>
          </cell>
          <cell r="U82" t="str">
            <v>ウエア</v>
          </cell>
          <cell r="V82" t="str">
            <v>$SHOP$はMAJESTIC FILATURESの正規販売通販サイトです。パリのマジェスティック・フィラチュールは、着心地のよさにこだわり、生地糸から作り上げるレディースブランド。カットソーをメインに展開。即日配送（一部地域）もご利用いただけます。</v>
          </cell>
          <cell r="X82" t="str">
            <v/>
          </cell>
          <cell r="Z82" t="str">
            <v>糸から選んで製品にするまでを自社で行うこだわりのブランド</v>
          </cell>
          <cell r="AA82" t="str">
            <v/>
          </cell>
          <cell r="AB82" t="str">
            <v>2001007</v>
          </cell>
          <cell r="AC82" t="str">
            <v/>
          </cell>
        </row>
        <row r="83">
          <cell r="A83" t="str">
            <v>MAKIE</v>
          </cell>
          <cell r="B83" t="str">
            <v>マキエ</v>
          </cell>
          <cell r="C83" t="str">
            <v>mk</v>
          </cell>
          <cell r="D83" t="str">
            <v>makie</v>
          </cell>
          <cell r="E83" t="str">
            <v>makie</v>
          </cell>
          <cell r="F83" t="str">
            <v>MAKIEはニューヨークで人気の高いベビー・キッズ・レディースのブランドです。NYとヨーロッパのイメージをミックスしたような洗練された雰囲気がNYのみならず日本でも人気を集めています。</v>
          </cell>
          <cell r="G83" t="str">
            <v>MAKIE,おしゃれ子供服,マキエ子供服,マキエ,MAKIE レディース,MAKIE ベビー,ニューヨーク子供服,デザイナー子供服,NY子供服,ベビー服,出産祝い,ギフト,プレゼント通販,ブルマ,ビブ,ワンピース,リバティプリント</v>
          </cell>
          <cell r="H83" t="str">
            <v>'01201'</v>
          </cell>
          <cell r="I83">
            <v>531</v>
          </cell>
          <cell r="J83" t="str">
            <v>MAKIE</v>
          </cell>
          <cell r="K83" t="str">
            <v>fashion brands/M/MAKIE（マキエ）</v>
          </cell>
          <cell r="L83">
            <v>0.38</v>
          </cell>
          <cell r="M83" t="str">
            <v>http://www.lilietnene.com/fs/lilietnene/c/makie/</v>
          </cell>
          <cell r="N83" t="str">
            <v>ベビー・キッズ・レディースウエア</v>
          </cell>
          <cell r="O83" t="str">
            <v>BABY</v>
          </cell>
          <cell r="P83" t="str">
            <v>KIDS</v>
          </cell>
          <cell r="R83" t="str">
            <v>WOMAN</v>
          </cell>
          <cell r="U83" t="str">
            <v>ウエア・雑貨</v>
          </cell>
          <cell r="V83" t="str">
            <v>$SHOP$はMAKIEの正規販売通販サイトです。ニューヨークで人気のベビー・キッズ・レディースアパレルと雑貨のブランドMAKIE。NYとヨーロッパのイメージをミックスした洗練された雰囲気が日本でも人気を集めています。即日配送（一部地域）もご利用いただけます。</v>
          </cell>
          <cell r="X83" t="str">
            <v/>
          </cell>
          <cell r="Z83" t="str">
            <v>NYとヨーロッパのイメージをMIXした雰囲気が人気のマキエ</v>
          </cell>
          <cell r="AA83" t="str">
            <v>1001005</v>
          </cell>
          <cell r="AB83" t="str">
            <v>2001007</v>
          </cell>
          <cell r="AC83" t="str">
            <v/>
          </cell>
        </row>
        <row r="84">
          <cell r="A84" t="str">
            <v>MALOLES</v>
          </cell>
          <cell r="B84" t="str">
            <v>マロレス</v>
          </cell>
          <cell r="C84" t="str">
            <v>ma</v>
          </cell>
          <cell r="D84" t="str">
            <v>maloles</v>
          </cell>
          <cell r="E84" t="str">
            <v>maloles</v>
          </cell>
          <cell r="F84" t="str">
            <v>スペイン出身の元スタイリスト、マロレス・ミラコスタがスタートさせたパリ発シューズブランドMaloles（マロレス）。ガーリーで可愛らしいデザインのバレエシューズに定評のあるブランドです。</v>
          </cell>
          <cell r="G84" t="str">
            <v>maloles,マロレス,通販 靴,通販 シューズ,マロレス・ミラコスタ,パリ,バレエシューズ</v>
          </cell>
          <cell r="H84" t="str">
            <v>'01210'</v>
          </cell>
          <cell r="I84">
            <v>122</v>
          </cell>
          <cell r="J84" t="str">
            <v>有限会社シャドウ</v>
          </cell>
          <cell r="K84" t="str">
            <v>-</v>
          </cell>
          <cell r="L84">
            <v>0</v>
          </cell>
          <cell r="M84" t="str">
            <v>-</v>
          </cell>
          <cell r="N84" t="str">
            <v>キッズシューズ</v>
          </cell>
          <cell r="P84" t="str">
            <v>KIDS</v>
          </cell>
          <cell r="U84" t="str">
            <v>シューズ</v>
          </cell>
          <cell r="W84"/>
          <cell r="X84" t="str">
            <v>無し</v>
          </cell>
        </row>
        <row r="85">
          <cell r="A85" t="str">
            <v>MANUELLE GUIBAL</v>
          </cell>
          <cell r="B85" t="str">
            <v>マニュエルギバル</v>
          </cell>
          <cell r="C85" t="str">
            <v>mg</v>
          </cell>
          <cell r="D85" t="str">
            <v>manuelleguibal</v>
          </cell>
          <cell r="E85" t="str">
            <v>manuelleguibal</v>
          </cell>
          <cell r="F85" t="str">
            <v>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v>
          </cell>
          <cell r="G85" t="str">
            <v>MANUELLE GUIBAL,マニュエル ギバル,通販,レディースウエア,ミニマル ファッション,ミニマル デザイン,ライフスタイル レディース ファッション,シンプル,異素材ミックス,パリ,フランス製,manuelle guibal,bmay bags,manuelle scarves,120 lino vente ligne,etole paris</v>
          </cell>
          <cell r="H85" t="str">
            <v>01223'</v>
          </cell>
          <cell r="I85">
            <v>562</v>
          </cell>
          <cell r="J85" t="str">
            <v>MANUELLE GUIBAL</v>
          </cell>
          <cell r="K85" t="str">
            <v>fashion brands/M/MANUELLE GUIBAL（マニュエルギバル）</v>
          </cell>
          <cell r="L85"/>
          <cell r="M85" t="str">
            <v>http://www.lilietnene.com/fs/lilietnene/c/manuelleguibal/</v>
          </cell>
          <cell r="N85" t="str">
            <v>レディースウエア</v>
          </cell>
          <cell r="O85"/>
          <cell r="P85"/>
          <cell r="Q85"/>
          <cell r="R85" t="str">
            <v>WOMAN</v>
          </cell>
          <cell r="S85"/>
          <cell r="T85"/>
          <cell r="U85" t="str">
            <v>ウエア</v>
          </cell>
          <cell r="V85" t="str">
            <v>$SHOP$はMANUELLE GUIBAL（マニュエルギバル）の正規販売通販サイトです。マニュエル・ギバルは、着るひとの個性を惹きたたせるミニマルでモダンなデザインが魅力的なパリのレディースブランド。即日配送（一部地域）もご利用いただけます。</v>
          </cell>
          <cell r="X85" t="str">
            <v/>
          </cell>
          <cell r="Z85" t="str">
            <v>着るひとの個性を惹きたたせるミニマルでモダンなデザインが魅力</v>
          </cell>
          <cell r="AA85" t="str">
            <v/>
          </cell>
          <cell r="AB85" t="str">
            <v>2003023</v>
          </cell>
          <cell r="AC85" t="str">
            <v/>
          </cell>
        </row>
        <row r="86">
          <cell r="A86" t="str">
            <v>MATTA</v>
          </cell>
          <cell r="B86" t="str">
            <v>マッタ</v>
          </cell>
          <cell r="C86" t="str">
            <v>mt</v>
          </cell>
          <cell r="D86" t="str">
            <v>matta</v>
          </cell>
          <cell r="E86" t="str">
            <v>matta</v>
          </cell>
          <cell r="F86" t="str">
            <v>クリスティーナ・ギッティが2003年にスタートしたN.Yのブランド「matta（マッタ）」。ブロックプリントやシルクスクリーン、ハンドペイントなど、インドの伝統的な技法をもとに生み出すアイテムは、エスニックなテイストとフェミニンなデザインが魅力です。</v>
          </cell>
          <cell r="G86" t="str">
            <v>MATTA,マッタ,ニューヨーク,NY,new york,ポンポンストール,ストール,スカーフ,インド,通販,人気,セレブ</v>
          </cell>
          <cell r="H86" t="str">
            <v>'01211'</v>
          </cell>
          <cell r="I86">
            <v>533</v>
          </cell>
          <cell r="J86" t="str">
            <v>MATTA</v>
          </cell>
          <cell r="K86" t="str">
            <v>fashion brands/M/MATTA（マッタ）</v>
          </cell>
          <cell r="L86">
            <v>0.42</v>
          </cell>
          <cell r="M86" t="str">
            <v>http://www.lilietnene.com/fs/lilietnene/c/matta/</v>
          </cell>
          <cell r="N86" t="str">
            <v>レディースウエア・ストール</v>
          </cell>
          <cell r="R86" t="str">
            <v>WOMAN</v>
          </cell>
          <cell r="U86" t="str">
            <v>ファッション小物</v>
          </cell>
          <cell r="X86" t="str">
            <v>無し</v>
          </cell>
        </row>
        <row r="87">
          <cell r="A87" t="str">
            <v>MAURICE MANUFACTURE</v>
          </cell>
          <cell r="B87" t="str">
            <v>モーリスマニュファクチュール</v>
          </cell>
          <cell r="C87" t="str">
            <v>me</v>
          </cell>
          <cell r="D87" t="str">
            <v>mauricemanufacture</v>
          </cell>
          <cell r="E87" t="str">
            <v>mauricemanufacture</v>
          </cell>
          <cell r="F87" t="str">
            <v>1949年、フランスのショレでスタートしたファクトリーブランド。メイドインフランスであることに誇りを持ち、履き心地と上質な素材感、洗練された確かなものづくりにこだわった「NEWSTALGIQYE（新しいノスタルジア）」なシューズコレクションを展開しています。</v>
          </cell>
          <cell r="G87" t="str">
            <v>MAURICE MANUFACTURE,モーリスマニュファクチュール,MAURICE,モーリス,MAURICE GRAMELLE,フランス,ショレ,レディース,通販,サンダル,ブーツ,モカシン,ローファー</v>
          </cell>
          <cell r="H87" t="str">
            <v>01221'</v>
          </cell>
          <cell r="I87">
            <v>131</v>
          </cell>
          <cell r="J87" t="str">
            <v>有限会社ハイブリッジ・インターナショナル</v>
          </cell>
          <cell r="K87" t="str">
            <v>fashion brands/M/MAURICE MANUFACTURE（モーリスマニュファクチュール）</v>
          </cell>
          <cell r="M87" t="str">
            <v>http://www.lilietnene.com/fs/lilietnene/c/mauricemanufacture/</v>
          </cell>
          <cell r="N87" t="str">
            <v>レディースシューズ</v>
          </cell>
          <cell r="R87" t="str">
            <v>WOMAN</v>
          </cell>
          <cell r="U87" t="str">
            <v>シューズ</v>
          </cell>
          <cell r="X87" t="str">
            <v/>
          </cell>
          <cell r="Z87" t="str">
            <v>フランスのショレでスタートしたファクトリーブランド</v>
          </cell>
          <cell r="AA87" t="str">
            <v/>
          </cell>
          <cell r="AB87" t="str">
            <v>2004037</v>
          </cell>
          <cell r="AC87" t="str">
            <v/>
          </cell>
        </row>
        <row r="88">
          <cell r="A88" t="str">
            <v>MEDECINE DOUCE</v>
          </cell>
          <cell r="B88" t="str">
            <v>メディソンデュース</v>
          </cell>
          <cell r="C88" t="str">
            <v>*hp</v>
          </cell>
          <cell r="D88" t="str">
            <v>medecinedouce</v>
          </cell>
          <cell r="E88" t="str">
            <v>medecinedouce</v>
          </cell>
          <cell r="F88" t="str">
            <v>パリ在住のデザイナーMarieMontaudがてがけるブランド。イタリア・フィレンツェのジュエリースクールを卒業後スタイリストとして経験を積み1998年にMedecineDouceをスタートさせました。パリで流行のモチーフをセレクトし、モード感のあるフランス人らしいデザインが特徴的です。</v>
          </cell>
          <cell r="G88" t="str">
            <v>メディスィン・ドゥース,medecine duce,アクセサリー レディース,フランス　アクセサリー,Marie Montaud,マリー・モントー,パリ</v>
          </cell>
          <cell r="H88" t="str">
            <v>'01206'</v>
          </cell>
          <cell r="I88">
            <v>111</v>
          </cell>
          <cell r="J88" t="str">
            <v>アッシュ・ペー・フランス株式会社</v>
          </cell>
          <cell r="K88" t="str">
            <v>-</v>
          </cell>
          <cell r="L88" t="str">
            <v/>
          </cell>
          <cell r="M88" t="str">
            <v>-</v>
          </cell>
          <cell r="N88" t="str">
            <v>レディースアクセサリー</v>
          </cell>
          <cell r="R88" t="str">
            <v>WOMAN</v>
          </cell>
          <cell r="U88" t="str">
            <v>ファッション小物</v>
          </cell>
          <cell r="W88"/>
          <cell r="X88" t="str">
            <v>無し</v>
          </cell>
        </row>
        <row r="89">
          <cell r="A89" t="str">
            <v>MEDUSE</v>
          </cell>
          <cell r="B89" t="str">
            <v>メデュース</v>
          </cell>
          <cell r="C89" t="str">
            <v>md</v>
          </cell>
          <cell r="D89" t="str">
            <v>meduse</v>
          </cell>
          <cell r="E89" t="str">
            <v>meduse</v>
          </cell>
          <cell r="F89" t="str">
            <v>フランスの老舗シューズファクトリーUMO（ウモ）のフェミニンライン「MEDUSE」。MADE IN FRANCEのデザインとクオリティでヨーロッパ各国で愛されているブランドです。ラバー素材をオシャレに楽しくというコンセプトのもと、シンプルで合わせやすいアイテムを提案しています。</v>
          </cell>
          <cell r="G89" t="str">
            <v>レインブーツ おしゃれ,レインブーツ 人気,レインブーツ ショート,レインブーツ おしゃれ ブランド,レインブーツ meduse,レインブーツ 通販</v>
          </cell>
          <cell r="H89" t="str">
            <v>'01215'</v>
          </cell>
          <cell r="I89">
            <v>131</v>
          </cell>
          <cell r="J89" t="str">
            <v>有限会社ハイブリッジ・インターナショナル</v>
          </cell>
          <cell r="K89" t="str">
            <v>fashion brands/M/MEDUSE（メデュース）</v>
          </cell>
          <cell r="L89">
            <v>0.56999999999999995</v>
          </cell>
          <cell r="M89" t="str">
            <v>http://www.lilietnene.com/fs/lilietnene/c/meduse/</v>
          </cell>
          <cell r="N89" t="str">
            <v>レディースレインブーツ</v>
          </cell>
          <cell r="R89" t="str">
            <v>WOMAN</v>
          </cell>
          <cell r="U89" t="str">
            <v>シューズ</v>
          </cell>
          <cell r="V89" t="str">
            <v>リリ・エ・ネネは、お洒落なレインブーツ、フランスの老舗シューズファクトリーUMO（ウモ）のフェミニンライン「MEDUSE」の正規販売店。通販で即日発送可能です。ラバー素材をオシャレに楽しくというコンセプトのもと、シンプルで合わせやすいアイテムを提案。</v>
          </cell>
          <cell r="X89" t="str">
            <v/>
          </cell>
          <cell r="Z89" t="str">
            <v>MADE IN FRANCEのデザインとクオリティでヨーロッパ各国で愛されているブランド</v>
          </cell>
          <cell r="AA89" t="str">
            <v/>
          </cell>
          <cell r="AB89" t="str">
            <v>2003029</v>
          </cell>
          <cell r="AC89" t="str">
            <v/>
          </cell>
        </row>
        <row r="90">
          <cell r="A90" t="str">
            <v>MERI MERI</v>
          </cell>
          <cell r="B90" t="str">
            <v>メリメリ</v>
          </cell>
          <cell r="C90" t="str">
            <v>mi</v>
          </cell>
          <cell r="D90" t="str">
            <v>merimeri</v>
          </cell>
          <cell r="E90" t="str">
            <v>merimeri</v>
          </cell>
          <cell r="F90" t="str">
            <v>アメリカ・サンフランシスコでスタートしたパーティーグッズブランド。グリーティングカードなどのステーショナリーや、ホームパーティーを楽しく盛り上げてくれる、ちょっとユニークなデコレーショングッズが人気です。</v>
          </cell>
          <cell r="G90" t="str">
            <v>リバティ,liberty print,テーブルデコレーション,パーティーアイテム カップ,メリメリ,merimeri,パーティーグッズ,ホームパーティー,ペーパーカップ,ペーパープレート,ペーパーストロー</v>
          </cell>
          <cell r="H90" t="str">
            <v>01222'</v>
          </cell>
          <cell r="I90" t="str">
            <v>-</v>
          </cell>
          <cell r="K90" t="str">
            <v>zakka brands/MERI MERI（メリメリ）</v>
          </cell>
          <cell r="M90" t="str">
            <v>http://www.lilietnene.com/fs/lilietnene/c/merimeri/</v>
          </cell>
          <cell r="N90" t="str">
            <v>パーティ雑貨</v>
          </cell>
          <cell r="S90" t="str">
            <v>GOODS</v>
          </cell>
          <cell r="U90" t="str">
            <v>キッチン雑貨</v>
          </cell>
          <cell r="X90" t="str">
            <v>無し</v>
          </cell>
        </row>
        <row r="91">
          <cell r="A91" t="str">
            <v>MIA ZIA</v>
          </cell>
          <cell r="B91" t="str">
            <v>ミアジア</v>
          </cell>
          <cell r="C91" t="str">
            <v>mz</v>
          </cell>
          <cell r="D91" t="str">
            <v>miazia</v>
          </cell>
          <cell r="E91" t="str">
            <v>miazia</v>
          </cell>
          <cell r="F91" t="str">
            <v>美しく、カラフルなアイテムが印象的なMiaZia（ミアジア）。タッセルやポンポン、ボタンなどは職人の手作業で作られており、独特の温かみがあります。</v>
          </cell>
          <cell r="H91" t="str">
            <v>'01214'</v>
          </cell>
          <cell r="I91">
            <v>901</v>
          </cell>
          <cell r="J91" t="str">
            <v>海外仕入（過去）</v>
          </cell>
          <cell r="K91" t="str">
            <v>-</v>
          </cell>
          <cell r="L91">
            <v>0.41</v>
          </cell>
          <cell r="M91" t="str">
            <v>-</v>
          </cell>
          <cell r="N91" t="str">
            <v>レディースストール</v>
          </cell>
          <cell r="R91" t="str">
            <v>WOMAN</v>
          </cell>
          <cell r="U91" t="str">
            <v>ファッション小物</v>
          </cell>
          <cell r="W91"/>
          <cell r="X91" t="str">
            <v>無し</v>
          </cell>
        </row>
        <row r="92">
          <cell r="A92" t="str">
            <v>MILK ON THE ROCKS</v>
          </cell>
          <cell r="B92" t="str">
            <v>ミルクオンザロックス</v>
          </cell>
          <cell r="C92" t="str">
            <v>mr</v>
          </cell>
          <cell r="D92" t="str">
            <v>milkontherocks</v>
          </cell>
          <cell r="E92" t="str">
            <v>milkontherocks</v>
          </cell>
          <cell r="F92" t="str">
            <v>デザイナーであるジュリーが自身の子供たちに着せる服を創りたいという思いから始まったブランドです。トレンドを意識したカラーとウイットに富んだグラフィックな刺繍などのディテールカラーなど、可愛さの中にもスパイスをきかせたデザインが人気をよんでいます。</v>
          </cell>
          <cell r="G92" t="str">
            <v>milk on the rocks ,ミルクオンザロックス</v>
          </cell>
          <cell r="H92" t="str">
            <v>'01203'</v>
          </cell>
          <cell r="I92">
            <v>122</v>
          </cell>
          <cell r="J92" t="str">
            <v>有限会社シャドウ</v>
          </cell>
          <cell r="K92" t="str">
            <v>-</v>
          </cell>
          <cell r="L92">
            <v>0.56999999999999995</v>
          </cell>
          <cell r="M92" t="str">
            <v>-</v>
          </cell>
          <cell r="N92" t="str">
            <v>キッズウエア</v>
          </cell>
          <cell r="P92" t="str">
            <v>KIDS</v>
          </cell>
          <cell r="U92" t="str">
            <v>ウエア</v>
          </cell>
          <cell r="W92"/>
          <cell r="X92" t="str">
            <v>無し</v>
          </cell>
        </row>
        <row r="93">
          <cell r="A93" t="str">
            <v>MIMI LOU</v>
          </cell>
          <cell r="B93" t="str">
            <v>ミミルゥ</v>
          </cell>
          <cell r="C93" t="str">
            <v>art</v>
          </cell>
          <cell r="D93" t="str">
            <v>mimilou</v>
          </cell>
          <cell r="E93" t="str">
            <v>mimilou</v>
          </cell>
          <cell r="F93" t="str">
            <v>フランス・パリ発！お部屋を彩るウォールステッカーデザインMIMI´lou（ミミ・ルゥ） 。カラフルな色合いやキュートなデザインでパリでも人気です。 キッズルームだけではなくインテリアとしても楽しめます。</v>
          </cell>
          <cell r="G93" t="str">
            <v>ミミ・ルゥ,mimi'lou,壁　ステッカー,部屋 インテリア,子供部屋 インテリア,ウォールステッカー,パリ,キッズルーム,</v>
          </cell>
          <cell r="H93" t="str">
            <v>'01208'</v>
          </cell>
          <cell r="I93">
            <v>137</v>
          </cell>
          <cell r="J93" t="str">
            <v>株式会社メタロイ商会</v>
          </cell>
          <cell r="K93" t="str">
            <v>zakka brands/MIMI Lou</v>
          </cell>
          <cell r="L93">
            <v>0.57999999999999996</v>
          </cell>
          <cell r="M93" t="str">
            <v>http://www.lilietnene.com/fs/lilietnene/c/mimilou</v>
          </cell>
          <cell r="N93" t="str">
            <v>インテリア雑貨</v>
          </cell>
          <cell r="S93" t="str">
            <v>GOODS</v>
          </cell>
          <cell r="U93" t="str">
            <v>インテリア・ハウスウエア</v>
          </cell>
          <cell r="X93" t="str">
            <v/>
          </cell>
          <cell r="Z93" t="str">
            <v>カラフルな色合いやキュートなデザインでパリで人気</v>
          </cell>
          <cell r="AA93" t="str">
            <v/>
          </cell>
          <cell r="AB93" t="str">
            <v/>
          </cell>
          <cell r="AC93" t="str">
            <v>9002006</v>
          </cell>
        </row>
        <row r="94">
          <cell r="A94" t="str">
            <v>MINA PERHONEN</v>
          </cell>
          <cell r="B94" t="str">
            <v>ミナペルホネン</v>
          </cell>
          <cell r="C94" t="str">
            <v>mp</v>
          </cell>
          <cell r="D94" t="str">
            <v>minaperhonen</v>
          </cell>
          <cell r="E94" t="str">
            <v>minaperhonen</v>
          </cell>
          <cell r="F94" t="str">
            <v>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v>
          </cell>
          <cell r="H94" t="str">
            <v>'01202'</v>
          </cell>
          <cell r="I94">
            <v>135</v>
          </cell>
          <cell r="J94" t="str">
            <v>株式会社ミナ</v>
          </cell>
          <cell r="K94" t="str">
            <v>fashion brands/M/MINA PERHONEN（ミナペルホネン）</v>
          </cell>
          <cell r="L94">
            <v>0.6</v>
          </cell>
          <cell r="M94" t="str">
            <v>http://www.lilietnene.com/fs/lilietnene/c/minaperhonen/</v>
          </cell>
          <cell r="N94" t="str">
            <v>ベビー・キッズウエア</v>
          </cell>
          <cell r="O94" t="str">
            <v>BABY</v>
          </cell>
          <cell r="R94" t="str">
            <v>WOMAN</v>
          </cell>
          <cell r="U94" t="str">
            <v>ウエア・雑貨</v>
          </cell>
          <cell r="X94" t="str">
            <v/>
          </cell>
          <cell r="Z94" t="str">
            <v>デザイナーである皆川明氏がスタートさせたブランド</v>
          </cell>
          <cell r="AA94" t="str">
            <v>1005046</v>
          </cell>
          <cell r="AB94" t="str">
            <v>2005045</v>
          </cell>
          <cell r="AC94" t="str">
            <v/>
          </cell>
        </row>
        <row r="95">
          <cell r="A95" t="str">
            <v>MONCLER</v>
          </cell>
          <cell r="B95" t="str">
            <v>モンクレール</v>
          </cell>
          <cell r="C95" t="str">
            <v>mc</v>
          </cell>
          <cell r="D95" t="str">
            <v>moncler</v>
          </cell>
          <cell r="E95" t="str">
            <v>moncler</v>
          </cell>
          <cell r="F95" t="str">
            <v>世界で最も有名なダウンジャケットメーカー。１羽からわずか３０gしかとれない厳選されたグースカモの産毛のみを使用し、驚くほど軽く、優しい暖かさ。過去には探検隊の防寒着などで使用されたことでも有名。ファッション性も注目されており、多くの人々を魅了しています。</v>
          </cell>
          <cell r="H95" t="str">
            <v>'01205'</v>
          </cell>
          <cell r="I95">
            <v>147</v>
          </cell>
          <cell r="J95" t="str">
            <v>モンクレールジャパン株式会社</v>
          </cell>
          <cell r="K95" t="str">
            <v>-</v>
          </cell>
          <cell r="L95">
            <v>0.56999999999999995</v>
          </cell>
          <cell r="M95" t="str">
            <v>-</v>
          </cell>
          <cell r="N95" t="str">
            <v>キッズアウター</v>
          </cell>
          <cell r="O95" t="str">
            <v>BABY</v>
          </cell>
          <cell r="P95" t="str">
            <v>KIDS</v>
          </cell>
          <cell r="R95" t="str">
            <v>WOMAN</v>
          </cell>
          <cell r="U95" t="str">
            <v>ウエア</v>
          </cell>
          <cell r="W95"/>
          <cell r="X95" t="str">
            <v>無し</v>
          </cell>
        </row>
        <row r="96">
          <cell r="A96" t="str">
            <v>MUHLBAUER</v>
          </cell>
          <cell r="B96" t="str">
            <v>ミュールバウアー</v>
          </cell>
          <cell r="C96" t="str">
            <v>hp</v>
          </cell>
          <cell r="D96" t="str">
            <v>muhlbauer</v>
          </cell>
          <cell r="E96" t="str">
            <v>muhlbauer</v>
          </cell>
          <cell r="F96" t="str">
            <v>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v>
          </cell>
          <cell r="G96" t="str">
            <v>MUHLBAUER,ミュールバウアー,通販,帽子,お洒落,ハット,オーストリア,HP</v>
          </cell>
          <cell r="H96" t="str">
            <v>'01207'</v>
          </cell>
          <cell r="I96">
            <v>111</v>
          </cell>
          <cell r="J96" t="str">
            <v>アッシュ・ペー・フランス株式会社</v>
          </cell>
          <cell r="K96" t="str">
            <v>fashion brands/M/MUHLBAUER（ミュールバウアー）</v>
          </cell>
          <cell r="L96" t="str">
            <v/>
          </cell>
          <cell r="M96" t="str">
            <v>http://www.lilietnene.com/fs/lilietnene/c/muhlbauer/</v>
          </cell>
          <cell r="N96" t="str">
            <v>レディースハット</v>
          </cell>
          <cell r="R96" t="str">
            <v>WOMAN</v>
          </cell>
          <cell r="U96" t="str">
            <v>ハット</v>
          </cell>
          <cell r="X96" t="str">
            <v/>
          </cell>
          <cell r="Z96" t="str">
            <v>1903年にオーストリア・ウィーンで創業された老舗帽子ブランド</v>
          </cell>
          <cell r="AA96" t="str">
            <v/>
          </cell>
          <cell r="AB96" t="str">
            <v>2004036</v>
          </cell>
          <cell r="AC96" t="str">
            <v/>
          </cell>
        </row>
        <row r="97">
          <cell r="A97" t="str">
            <v>MUSKHANE</v>
          </cell>
          <cell r="B97" t="str">
            <v>ムスカン</v>
          </cell>
          <cell r="C97" t="str">
            <v>mh</v>
          </cell>
          <cell r="D97" t="str">
            <v>muskhane</v>
          </cell>
          <cell r="E97" t="str">
            <v>muskhane</v>
          </cell>
          <cell r="F97" t="str">
            <v>MUSKHANE（ムスカン）は、ValerieとThierry夫妻がネパールのヒマラヤ地域の美しい自然や人々の素晴らしさに魅了されて立ち上げたブランド。パリのデザインと、ネパールのハンドメイド技術、カトマンズのオーガニック素材をマッチさせた、フェルトやカシミヤのアイテムがパリジェンヌの間で人気です。</v>
          </cell>
          <cell r="G97" t="str">
            <v>ムスカン,フェルト,小物入れ,バスケット,ガーランド,ネパール,カトマンズ,通販,パリ</v>
          </cell>
          <cell r="H97" t="str">
            <v>01220'</v>
          </cell>
          <cell r="I97">
            <v>534</v>
          </cell>
          <cell r="J97" t="str">
            <v>MUSKHANE</v>
          </cell>
          <cell r="K97" t="str">
            <v>fashion brands/M/MUSKHANE（ムスカン）</v>
          </cell>
          <cell r="M97" t="str">
            <v>http://www.lilietnene.com/fs/lilietnene/c/muskhane/</v>
          </cell>
          <cell r="N97" t="str">
            <v>インテリア雑貨、ステーショナリー</v>
          </cell>
          <cell r="S97" t="str">
            <v>GOODS</v>
          </cell>
          <cell r="U97" t="str">
            <v>インテリア・ハウスウエア</v>
          </cell>
          <cell r="X97" t="str">
            <v/>
          </cell>
          <cell r="Z97" t="str">
            <v>パリのデザインと、ネパールのハンドメイドをマッチさせたフェルトやカシミヤのアイテムが人気</v>
          </cell>
          <cell r="AA97" t="str">
            <v/>
          </cell>
          <cell r="AB97" t="str">
            <v/>
          </cell>
          <cell r="AC97" t="str">
            <v>9001005</v>
          </cell>
        </row>
        <row r="98">
          <cell r="A98" t="str">
            <v>MUUN</v>
          </cell>
          <cell r="B98" t="str">
            <v>ムーニュ</v>
          </cell>
          <cell r="C98" t="str">
            <v>mu</v>
          </cell>
          <cell r="D98" t="str">
            <v>muun</v>
          </cell>
          <cell r="E98" t="str">
            <v>muun</v>
          </cell>
          <cell r="F98" t="str">
            <v>ムーニュは、アフリカの言葉で「笑顔」を意味する、フランス人と日本人デザイナーによるブランド。天然素材のエレファントグラスを使用したカゴバッグは耐久性に優れ、染色に使用する材料はオーガニック素材を使用。洗練されたデザインと高品質な技術の絶妙なコラボレーションが魅力的です。</v>
          </cell>
          <cell r="G98" t="str">
            <v>ムーニュ,バッグ,バスケット,ガーナ,フランス,パリ,muun,bag,クラッチ,スクエアバスケット,かごバッグ,通販,正規販売</v>
          </cell>
          <cell r="H98" t="str">
            <v>01219'</v>
          </cell>
          <cell r="I98">
            <v>535</v>
          </cell>
          <cell r="J98" t="str">
            <v>MUUN (MD ANGORA)</v>
          </cell>
          <cell r="K98" t="str">
            <v>fashion brands/M/MUUN（ムーニュ）</v>
          </cell>
          <cell r="M98" t="str">
            <v>http://www.lilietnene.com/fs/lilietnene/c/muun/</v>
          </cell>
          <cell r="N98" t="str">
            <v>レディースバッグ</v>
          </cell>
          <cell r="R98" t="str">
            <v>WOMAN</v>
          </cell>
          <cell r="U98" t="str">
            <v>バッグ</v>
          </cell>
          <cell r="X98" t="str">
            <v/>
          </cell>
          <cell r="Z98" t="str">
            <v>伝統的な手法でハンドメイドされたカゴバッグのブランド</v>
          </cell>
          <cell r="AA98" t="str">
            <v/>
          </cell>
          <cell r="AB98" t="str">
            <v>2002012</v>
          </cell>
          <cell r="AC98" t="str">
            <v/>
          </cell>
        </row>
        <row r="99">
          <cell r="A99" t="str">
            <v>MY LITTLE DAY</v>
          </cell>
          <cell r="B99" t="str">
            <v>マイリトルデイ</v>
          </cell>
          <cell r="C99" t="str">
            <v>un</v>
          </cell>
          <cell r="D99" t="str">
            <v>mylittleday</v>
          </cell>
          <cell r="E99" t="str">
            <v>mylittleday</v>
          </cell>
          <cell r="F99" t="str">
            <v>個性的でキュートなキッズ向けのパーティグッズを扱うMY LITTLE DAY(マイリトルデイ)。</v>
          </cell>
          <cell r="H99" t="str">
            <v>'00307'</v>
          </cell>
          <cell r="I99">
            <v>140</v>
          </cell>
          <cell r="J99" t="str">
            <v>株式会社ユニコン</v>
          </cell>
          <cell r="K99" t="str">
            <v>zakka brands/MY LITTLE DAY</v>
          </cell>
          <cell r="L99">
            <v>0.6</v>
          </cell>
          <cell r="M99" t="str">
            <v>http://www.lilietnene.com/fs/lilietnene/c/mylittleday</v>
          </cell>
          <cell r="N99" t="str">
            <v>パーティ雑貨</v>
          </cell>
          <cell r="S99" t="str">
            <v>GOODS</v>
          </cell>
          <cell r="U99" t="str">
            <v>キッズ雑貨</v>
          </cell>
          <cell r="X99" t="str">
            <v/>
          </cell>
          <cell r="Z99" t="str">
            <v>個性的でキュートなキッズ向けのパーティグッズを扱うMY LITTLE DAY</v>
          </cell>
          <cell r="AA99" t="str">
            <v/>
          </cell>
          <cell r="AB99" t="str">
            <v/>
          </cell>
          <cell r="AC99" t="str">
            <v>9002008</v>
          </cell>
        </row>
        <row r="100">
          <cell r="A100" t="str">
            <v>NAEF</v>
          </cell>
          <cell r="B100" t="str">
            <v>ネフ</v>
          </cell>
          <cell r="C100" t="str">
            <v>nk</v>
          </cell>
          <cell r="D100" t="str">
            <v>naef</v>
          </cell>
          <cell r="E100" t="str">
            <v>naef</v>
          </cell>
          <cell r="F100" t="str">
            <v>1958年、創業者であるクルト・ネフ氏がネフスピールを世に出し一躍有名に。子供が遊びながら感覚や想像力を学ぶことができる知育玩具として世界中から親しまれています。</v>
          </cell>
          <cell r="G100" t="str">
            <v>ネフ,naef,木製玩具　通販,木製おもちゃ,木製のおもちゃ,木玩具,木の積み木,木の玩具,木のおもちゃ 通販,木のおもちゃ 赤ちゃん,木のおもちゃ 出産祝い,木のおもちゃ,木 おもちゃ,木のオモチャ</v>
          </cell>
          <cell r="H100" t="str">
            <v>'01302'</v>
          </cell>
          <cell r="I100">
            <v>127</v>
          </cell>
          <cell r="J100" t="str">
            <v>株式会社アトリエニキティキ</v>
          </cell>
          <cell r="K100" t="str">
            <v>toy brands/NAEF（ネフ）</v>
          </cell>
          <cell r="L100" t="str">
            <v/>
          </cell>
          <cell r="M100" t="str">
            <v>http://www.lilietnene.com/fs/lilietnene/c/naef</v>
          </cell>
          <cell r="N100" t="str">
            <v>キッズ玩具</v>
          </cell>
          <cell r="S100" t="str">
            <v>GOODS</v>
          </cell>
          <cell r="U100" t="str">
            <v>玩具</v>
          </cell>
          <cell r="X100" t="str">
            <v/>
          </cell>
          <cell r="Z100" t="str">
            <v>1958年、創業者であるクルト・ネフ氏がネフスピールを世に出し一躍有名に</v>
          </cell>
          <cell r="AA100" t="str">
            <v/>
          </cell>
          <cell r="AB100" t="str">
            <v/>
          </cell>
          <cell r="AC100" t="str">
            <v>9004003</v>
          </cell>
        </row>
        <row r="101">
          <cell r="A101" t="str">
            <v>NATHALIE LETE</v>
          </cell>
          <cell r="B101" t="str">
            <v>ナタリーレテ</v>
          </cell>
          <cell r="C101" t="str">
            <v>un</v>
          </cell>
          <cell r="D101" t="str">
            <v>nathalielete</v>
          </cell>
          <cell r="E101" t="str">
            <v>nathalielete</v>
          </cell>
          <cell r="F101" t="str">
            <v>1964年パリ生まれのイラストレーターナタリー・レテ。ユニークでカラフルな彼女の作品は、ヴィンテージトイから影響を受けているという懐かしい風合いのある作品は、絶賛を浴び、シャネルやラガーフェルトのショーウィンドウのディスプレイを手掛ける。</v>
          </cell>
          <cell r="G101" t="str">
            <v>Nathalie LETE,ナタリーレテ,バブーシュ,トートバッグ,ハンカチ,タオル,</v>
          </cell>
          <cell r="H101" t="str">
            <v>'01303'</v>
          </cell>
          <cell r="I101">
            <v>554</v>
          </cell>
          <cell r="J101" t="str">
            <v>Nathalie Lete</v>
          </cell>
          <cell r="K101" t="str">
            <v>zakka brands/NATHALIE LETE（ナタリー・レテ）</v>
          </cell>
          <cell r="L101" t="str">
            <v/>
          </cell>
          <cell r="M101" t="str">
            <v>http://www.lilietnene.com/fs/lilietnene/c/nathalielete</v>
          </cell>
          <cell r="N101" t="str">
            <v>アート・雑貨</v>
          </cell>
          <cell r="S101" t="str">
            <v>GOODS</v>
          </cell>
          <cell r="U101" t="str">
            <v>玩具</v>
          </cell>
          <cell r="X101" t="str">
            <v/>
          </cell>
          <cell r="Z101" t="str">
            <v>ユニークでカラフルな作品が人気のパリのイラストレーター、ナタリー・レテ。</v>
          </cell>
          <cell r="AA101" t="str">
            <v/>
          </cell>
          <cell r="AB101" t="str">
            <v/>
          </cell>
          <cell r="AC101" t="str">
            <v>9004008</v>
          </cell>
        </row>
        <row r="102">
          <cell r="A102" t="str">
            <v>NATHALIE VERLINDEN</v>
          </cell>
          <cell r="B102" t="str">
            <v>ナタリーバーリンデン</v>
          </cell>
          <cell r="C102" t="str">
            <v>nv</v>
          </cell>
          <cell r="D102" t="str">
            <v>nathalieverlinden</v>
          </cell>
          <cell r="E102" t="str">
            <v>nathalieverlinden</v>
          </cell>
          <cell r="F102" t="str">
            <v>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v>
          </cell>
          <cell r="G102" t="str">
            <v>NATHALIE VERLINDEN,ナタリーバーリンデン,通販,シューズ,革靴,キッズ シューズ,キッズ 革靴,子供靴,SGマーク,ケミカルフリー,エコフレンドリー</v>
          </cell>
          <cell r="H102" t="str">
            <v>01308'</v>
          </cell>
          <cell r="I102">
            <v>564</v>
          </cell>
          <cell r="J102" t="str">
            <v>NATHALIE VERLINDEN</v>
          </cell>
          <cell r="K102" t="str">
            <v>zakka brands/NATHALIE VERLINDEN（ナタリーバーリンデン）</v>
          </cell>
          <cell r="L102" t="str">
            <v/>
          </cell>
          <cell r="M102" t="str">
            <v>http://www.lilietnene.com/fs/lilietnene/c/nathalieverlinden/</v>
          </cell>
          <cell r="N102" t="str">
            <v>キッズシューズ</v>
          </cell>
          <cell r="O102"/>
          <cell r="P102" t="str">
            <v>KIDS</v>
          </cell>
          <cell r="Q102"/>
          <cell r="R102"/>
          <cell r="S102"/>
          <cell r="T102"/>
          <cell r="U102" t="str">
            <v>シューズ</v>
          </cell>
          <cell r="V102" t="str">
            <v>$SHOP$はNATHALIE VERLINDENの正規販売通販サイトです。1999年スタートのベルギーのシューズブランド。環境にやさしいナチュラルな素材にこだわり、丁寧に作られた履き心地のよい革靴が人気。即日配送（一部地域）もご利用いただけます。</v>
          </cell>
          <cell r="X102" t="str">
            <v/>
          </cell>
          <cell r="Z102" t="str">
            <v>丁寧な製法とナチュラルな素材にこだわったベルギーのシューズブランド</v>
          </cell>
          <cell r="AA102" t="str">
            <v>1002018</v>
          </cell>
          <cell r="AB102" t="str">
            <v/>
          </cell>
          <cell r="AC102" t="str">
            <v/>
          </cell>
        </row>
        <row r="103">
          <cell r="A103" t="str">
            <v>NIC</v>
          </cell>
          <cell r="B103" t="str">
            <v>ニック</v>
          </cell>
          <cell r="C103" t="str">
            <v>nk</v>
          </cell>
          <cell r="D103" t="str">
            <v>nic</v>
          </cell>
          <cell r="E103" t="str">
            <v>nic</v>
          </cell>
          <cell r="F103" t="str">
            <v>西ドイツ、オーバーシュバーベン地方の中心地、ライブハイムという街にあるニック社は、子ども達が繰返し長くよく遊べるように、創造性があることはもちろん、シンプルで堅牢な品質の高さに重きを置いた木製玩具を作っています。</v>
          </cell>
          <cell r="G103" t="str">
            <v>nic,ニック,nic おもちゃ,ライブハイム,シンプル,堅牢,ポストボックス,ドラム玉落とし,プラステン,あひる,織り機,イネス</v>
          </cell>
          <cell r="H103" t="str">
            <v>01307'</v>
          </cell>
          <cell r="I103">
            <v>127</v>
          </cell>
          <cell r="J103" t="str">
            <v>株式会社アトリエニキティキ</v>
          </cell>
          <cell r="K103" t="str">
            <v>toy brands/NIC（ニック）</v>
          </cell>
          <cell r="L103">
            <v>0.62</v>
          </cell>
          <cell r="M103" t="str">
            <v>http://www.lilietnene.com/fs/lilietnene/c/nic/</v>
          </cell>
          <cell r="N103" t="str">
            <v>ベビー・キッズ玩具</v>
          </cell>
          <cell r="S103" t="str">
            <v>GOODS</v>
          </cell>
          <cell r="U103" t="str">
            <v>玩具</v>
          </cell>
          <cell r="X103" t="str">
            <v/>
          </cell>
          <cell r="Z103" t="str">
            <v>子ども達が繰返し遊べるシンプルで高品質な木製玩具をつくるドイツのNIC</v>
          </cell>
          <cell r="AA103" t="str">
            <v/>
          </cell>
          <cell r="AB103" t="str">
            <v/>
          </cell>
          <cell r="AC103" t="str">
            <v>9004007</v>
          </cell>
        </row>
        <row r="104">
          <cell r="A104" t="str">
            <v>NOVEMB3R</v>
          </cell>
          <cell r="B104" t="str">
            <v>ノーベンバー</v>
          </cell>
          <cell r="C104" t="str">
            <v>no</v>
          </cell>
          <cell r="D104" t="str">
            <v>novemb3r</v>
          </cell>
          <cell r="E104" t="str">
            <v>novemb3r</v>
          </cell>
          <cell r="F104" t="str">
            <v>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v>
          </cell>
          <cell r="H104" t="str">
            <v>01306'</v>
          </cell>
          <cell r="I104">
            <v>129</v>
          </cell>
          <cell r="J104" t="str">
            <v>株式会社ノーザンスカイ</v>
          </cell>
          <cell r="K104" t="str">
            <v>fashion brands/N/NOVEMB3R（ノーベンバー）</v>
          </cell>
          <cell r="L104">
            <v>0</v>
          </cell>
          <cell r="M104" t="str">
            <v>http://www.lilietnene.com/fs/lilietnene/c/novemb3r/</v>
          </cell>
          <cell r="N104" t="str">
            <v>キッズ・ティーンウエア</v>
          </cell>
          <cell r="P104" t="str">
            <v>KIDS</v>
          </cell>
          <cell r="Q104" t="str">
            <v>TEEN</v>
          </cell>
          <cell r="R104" t="str">
            <v>WOMAN</v>
          </cell>
          <cell r="U104" t="str">
            <v>ウエア</v>
          </cell>
          <cell r="X104" t="str">
            <v/>
          </cell>
          <cell r="Z104" t="str">
            <v>2008年にスタートしたイタリアブランド。トレンドに左右されないタイムレスなアイテムがコンセプト</v>
          </cell>
          <cell r="AA104" t="str">
            <v>1005045</v>
          </cell>
          <cell r="AB104" t="str">
            <v/>
          </cell>
          <cell r="AC104" t="str">
            <v/>
          </cell>
        </row>
        <row r="105">
          <cell r="A105" t="str">
            <v>NORO</v>
          </cell>
          <cell r="B105" t="str">
            <v>ノロ</v>
          </cell>
          <cell r="C105" t="str">
            <v>nr</v>
          </cell>
          <cell r="D105" t="str">
            <v>noro</v>
          </cell>
          <cell r="E105" t="str">
            <v>noro</v>
          </cell>
          <cell r="F105" t="str">
            <v>パリを拠点とするブランド「NORO(ノロ)」。シンプルな可愛らしさのノスタルジックなデザインはコーディネートしやすく、洗練されたバランス感覚がパリらしいブランド。</v>
          </cell>
          <cell r="G105" t="str">
            <v>NORO,ノロ,パリ,子供服,ベビー服,お洒落,通販</v>
          </cell>
          <cell r="H105" t="str">
            <v>'01304'</v>
          </cell>
          <cell r="I105">
            <v>536</v>
          </cell>
          <cell r="J105" t="str">
            <v>NORO</v>
          </cell>
          <cell r="K105" t="str">
            <v>fashion brands/N/NORO（ノロ）</v>
          </cell>
          <cell r="M105" t="str">
            <v>http://www.lilietnene.com/fs/lilietnene/c/noro/</v>
          </cell>
          <cell r="N105" t="str">
            <v>キッズウエア</v>
          </cell>
          <cell r="P105" t="str">
            <v>KIDS</v>
          </cell>
          <cell r="U105" t="str">
            <v>ウエア</v>
          </cell>
          <cell r="X105" t="str">
            <v/>
          </cell>
          <cell r="Z105" t="str">
            <v>パリを拠点とするブランド「NORO (ノロ) 」。ナチュラルでありながら洗練されたコレクション</v>
          </cell>
          <cell r="AA105" t="str">
            <v>1005044</v>
          </cell>
          <cell r="AB105" t="str">
            <v/>
          </cell>
          <cell r="AC105" t="str">
            <v/>
          </cell>
        </row>
        <row r="106">
          <cell r="A106" t="str">
            <v>NUMERO 74</v>
          </cell>
          <cell r="B106" t="str">
            <v>ヌメロ</v>
          </cell>
          <cell r="C106" t="str">
            <v>un</v>
          </cell>
          <cell r="D106" t="str">
            <v>numero74</v>
          </cell>
          <cell r="E106" t="str">
            <v>numero74</v>
          </cell>
          <cell r="F106" t="str">
            <v>NUMERO74はイタリア人とフランス人のいとこ同士のデザイナーによるイタリアのハンドメイドテキスタイルを使ったブランド。日々の生活にポエティックなエッセンスを加え、子供時代の夢を思い起こさせるようなイマジネーションあふれるアイテムが特徴的。</v>
          </cell>
          <cell r="G106" t="str">
            <v>おしゃれな子供部屋、海外 子供部屋、ガーランド 通販、Numero74、ニュメロNumero 74、n74、キャノピー、天蓋、パニエ、子供部屋</v>
          </cell>
          <cell r="H106" t="str">
            <v>'01305'</v>
          </cell>
          <cell r="I106">
            <v>140</v>
          </cell>
          <cell r="J106" t="str">
            <v>株式会社ユニコン</v>
          </cell>
          <cell r="K106" t="str">
            <v>zakka brands/NUMERO 74（ヌメロ74）</v>
          </cell>
          <cell r="L106">
            <v>0.6</v>
          </cell>
          <cell r="M106" t="str">
            <v>http://www.lilietnene.com/fs/lilietnene/c/numero74/</v>
          </cell>
          <cell r="N106" t="str">
            <v>インテリア雑貨</v>
          </cell>
          <cell r="S106" t="str">
            <v>GOODS</v>
          </cell>
          <cell r="U106" t="str">
            <v>キッズ雑貨</v>
          </cell>
          <cell r="X106" t="str">
            <v/>
          </cell>
          <cell r="Z106" t="str">
            <v>イマジネーションあふれるアイテムが特徴的なヌメロ74</v>
          </cell>
          <cell r="AA106" t="str">
            <v/>
          </cell>
          <cell r="AB106" t="str">
            <v/>
          </cell>
          <cell r="AC106" t="str">
            <v>9001004</v>
          </cell>
        </row>
        <row r="107">
          <cell r="A107" t="str">
            <v>OEUF</v>
          </cell>
          <cell r="B107" t="str">
            <v>ウフ</v>
          </cell>
          <cell r="C107" t="str">
            <v>of</v>
          </cell>
          <cell r="D107" t="str">
            <v>oeuf</v>
          </cell>
          <cell r="E107" t="str">
            <v>oeuf</v>
          </cell>
          <cell r="F107" t="str">
            <v>N.Yのベビー・キッズブランドoeuf（ウフ）。「上質であること、実用的で機能的であること」を最優先に、シンプルでスタイリッシュ、そしてユーモアのあるアイテムが魅力のブランドです。</v>
          </cell>
          <cell r="G107" t="str">
            <v>OEUF,ウフ,ニューヨーク,NY,ニットクラウン,アクセサリー,通販,インテリア</v>
          </cell>
          <cell r="H107" t="str">
            <v>'01401'</v>
          </cell>
          <cell r="I107">
            <v>111</v>
          </cell>
          <cell r="J107" t="str">
            <v>アッシュ・ペー・フランス株式会社</v>
          </cell>
          <cell r="K107" t="str">
            <v>fashion brands/O/OEUF（ウフ）</v>
          </cell>
          <cell r="L107" t="str">
            <v/>
          </cell>
          <cell r="M107" t="str">
            <v>http://www.lilietnene.com/fs/lilietnene/c/oeuf/</v>
          </cell>
          <cell r="N107" t="str">
            <v>ベビー・キッズウエア・アクセサリー</v>
          </cell>
          <cell r="S107" t="str">
            <v>GOODS</v>
          </cell>
          <cell r="U107" t="str">
            <v>キッズ雑貨</v>
          </cell>
          <cell r="X107" t="str">
            <v/>
          </cell>
          <cell r="Z107" t="str">
            <v>N.YのOEUFはシンプルでスタイリッシュなユーモアのあるアイテムが魅力</v>
          </cell>
          <cell r="AA107" t="str">
            <v/>
          </cell>
          <cell r="AB107" t="str">
            <v/>
          </cell>
          <cell r="AC107" t="str">
            <v>9002003</v>
          </cell>
        </row>
        <row r="108">
          <cell r="A108" t="str">
            <v>OWEN BARRY</v>
          </cell>
          <cell r="B108" t="str">
            <v>オーエンバリー</v>
          </cell>
          <cell r="C108" t="str">
            <v>ow</v>
          </cell>
          <cell r="D108" t="str">
            <v>owenbarry</v>
          </cell>
          <cell r="E108" t="str">
            <v>owenbarry</v>
          </cell>
          <cell r="F108" t="str">
            <v>1948年、OwenBarryによって設立。現在では数々の有名ブランドの製品を手がけるファクトリーブランドとして成長し、日本ではオリジナルブランドであるオーエンバリーのコートやアクセサリーなどを扱っています。</v>
          </cell>
          <cell r="G108" t="str">
            <v>OWEN BARRY,オーエンバリー,英国,イギリス,British,England,Scotlad,輸入</v>
          </cell>
          <cell r="H108" t="str">
            <v>'01402'</v>
          </cell>
          <cell r="I108">
            <v>144</v>
          </cell>
          <cell r="J108" t="str">
            <v>渡辺産業株式会社</v>
          </cell>
          <cell r="K108" t="str">
            <v>-</v>
          </cell>
          <cell r="L108">
            <v>0.57999999999999996</v>
          </cell>
          <cell r="M108" t="str">
            <v>-</v>
          </cell>
          <cell r="N108" t="str">
            <v>レディースバッグ</v>
          </cell>
          <cell r="R108" t="str">
            <v>WOMAN</v>
          </cell>
          <cell r="U108" t="str">
            <v>ファッション小物</v>
          </cell>
          <cell r="W108"/>
          <cell r="X108" t="str">
            <v>無し</v>
          </cell>
        </row>
        <row r="109">
          <cell r="A109" t="str">
            <v>PAKHUIS OOST</v>
          </cell>
          <cell r="B109" t="str">
            <v>パクハウスウースト</v>
          </cell>
          <cell r="C109" t="str">
            <v>sh</v>
          </cell>
          <cell r="D109" t="str">
            <v>pakhuisoost</v>
          </cell>
          <cell r="E109" t="str">
            <v>pakhuisoost</v>
          </cell>
          <cell r="F109" t="str">
            <v>「小さい子たちにかわいい雑貨を」をコンセプトに生まれたオランダの雑貨ブランド。カラフル・ポップ・レトロで 絵本の中から出てきたような世界観が海外でも注目されているブランドです。</v>
          </cell>
          <cell r="G109" t="str">
            <v>パクハウスウースト,pakhuis oost,pakhuisoost,オランダ雑貨</v>
          </cell>
          <cell r="H109" t="str">
            <v>'01507'</v>
          </cell>
          <cell r="I109">
            <v>123</v>
          </cell>
          <cell r="J109" t="str">
            <v>湘南インターナショナル株式会社</v>
          </cell>
          <cell r="K109" t="str">
            <v>zakka brands/PAKHUIS OOST（パクハウスウースト）</v>
          </cell>
          <cell r="L109" t="str">
            <v/>
          </cell>
          <cell r="M109" t="str">
            <v>-</v>
          </cell>
          <cell r="N109" t="str">
            <v>インテリア雑貨</v>
          </cell>
          <cell r="S109" t="str">
            <v>GOODS</v>
          </cell>
          <cell r="U109" t="str">
            <v>玩具</v>
          </cell>
          <cell r="W109"/>
          <cell r="X109" t="str">
            <v>無し</v>
          </cell>
        </row>
        <row r="110">
          <cell r="A110" t="str">
            <v>PENELOPE &amp; PARKER</v>
          </cell>
          <cell r="B110" t="str">
            <v>ペネロペパーカー</v>
          </cell>
          <cell r="C110" t="str">
            <v>pp</v>
          </cell>
          <cell r="D110" t="str">
            <v>penelopeparker</v>
          </cell>
          <cell r="E110" t="str">
            <v>penelopeparker</v>
          </cell>
          <cell r="F110" t="str">
            <v>2010年にスタートしたレザーブランド。丸みのあるラインと優しいカラー、可愛さの中に気品が溢れる作品は、数々の有名ブランドの商品開発に携わる名門工場が生産を手掛ける。卓越した職人技による軽くて上質なレザーを使用。コストパフォーマンスも魅力。</v>
          </cell>
          <cell r="G110" t="str">
            <v>ぺネロぺ＆パーカー,penelope &amp; parker,レザーブランド</v>
          </cell>
          <cell r="H110" t="str">
            <v>'01504'</v>
          </cell>
          <cell r="I110">
            <v>122</v>
          </cell>
          <cell r="J110" t="str">
            <v>有限会社シャドウ</v>
          </cell>
          <cell r="K110" t="str">
            <v>-</v>
          </cell>
          <cell r="L110" t="str">
            <v/>
          </cell>
          <cell r="M110" t="str">
            <v>-</v>
          </cell>
          <cell r="R110" t="str">
            <v>WOMAN</v>
          </cell>
          <cell r="W110"/>
          <cell r="X110" t="str">
            <v>無し</v>
          </cell>
        </row>
        <row r="111">
          <cell r="A111" t="str">
            <v>PEPE</v>
          </cell>
          <cell r="B111" t="str">
            <v>ペペ</v>
          </cell>
          <cell r="C111" t="str">
            <v>pe</v>
          </cell>
          <cell r="D111" t="str">
            <v>pepe</v>
          </cell>
          <cell r="E111" t="str">
            <v>pepe</v>
          </cell>
          <cell r="F111" t="str">
            <v>イタリアの老舗子供靴ブランドPEPE。洗練されたデザインと丁寧な縫製、品質でヨーロッパを中心に人気を集めています。</v>
          </cell>
          <cell r="G111" t="str">
            <v>PEPE,ペペ,イタリア,子供靴,ベビー靴,シューズ,サンダル,上質子供靴,通販,モカシン,ブーツ</v>
          </cell>
          <cell r="H111" t="str">
            <v>'01502'</v>
          </cell>
          <cell r="I111">
            <v>537</v>
          </cell>
          <cell r="J111" t="str">
            <v>PEPE</v>
          </cell>
          <cell r="K111" t="str">
            <v>fashion brands/P/PEPE（ペペ）</v>
          </cell>
          <cell r="L111">
            <v>0.39</v>
          </cell>
          <cell r="M111" t="str">
            <v>http://www.lilietnene.com/fs/lilietnene/c/pepe/</v>
          </cell>
          <cell r="N111" t="str">
            <v>ベビー・キッズ・レディースシューズ</v>
          </cell>
          <cell r="O111" t="str">
            <v>BABY</v>
          </cell>
          <cell r="P111" t="str">
            <v>KIDS</v>
          </cell>
          <cell r="Q111" t="str">
            <v>TEEN</v>
          </cell>
          <cell r="R111" t="str">
            <v>WOMAN</v>
          </cell>
          <cell r="U111" t="str">
            <v>シューズ</v>
          </cell>
          <cell r="V111" t="str">
            <v>$SHOP$はPEPE（ペペ）の正規販売通販サイトです。イタリアの老舗子供靴ブランドPEPE。洗練されたデザインと丁寧な縫製と品質、ベビー・キッズ・レディースの豊富なサイズで、ヨーロッパを中心に人気。即日配送（一部地域）もご利用いただけます。</v>
          </cell>
          <cell r="X111" t="str">
            <v/>
          </cell>
          <cell r="Z111" t="str">
            <v>ベビーからレディースまで揃うイタリアの老舗シューズブランド、ペペ</v>
          </cell>
          <cell r="AA111" t="str">
            <v>1002011</v>
          </cell>
          <cell r="AB111" t="str">
            <v>2002019</v>
          </cell>
          <cell r="AC111" t="str">
            <v/>
          </cell>
        </row>
        <row r="112">
          <cell r="A112" t="str">
            <v>PETIT BATEAU</v>
          </cell>
          <cell r="B112" t="str">
            <v>プチバトー</v>
          </cell>
          <cell r="C112" t="str">
            <v>pb</v>
          </cell>
          <cell r="D112" t="str">
            <v>petitbateau</v>
          </cell>
          <cell r="E112" t="str">
            <v>petitbateau</v>
          </cell>
          <cell r="F112" t="str">
            <v>子どもから大人まであらゆる世代に受け入れられているフランスの国民的ブランド、プチバトー。トレンドを程良く組み込んだシンプルなデザインはコーディネートを自由にお楽しみ頂けます。</v>
          </cell>
          <cell r="G112" t="str">
            <v>PETIT BATEAU,プチバトー,フランス,子供服,ベビー服,パジャマ,ロンパース,定番,肌着,通販</v>
          </cell>
          <cell r="H112" t="str">
            <v>'01505'</v>
          </cell>
          <cell r="I112">
            <v>132</v>
          </cell>
          <cell r="J112" t="str">
            <v>株式会社プチバトージャパン</v>
          </cell>
          <cell r="K112" t="str">
            <v>fashion brands/P/PETIT BATEAU（プチバトー）</v>
          </cell>
          <cell r="L112">
            <v>0.55000000000000004</v>
          </cell>
          <cell r="M112" t="str">
            <v>http://www.lilietnene.com/fs/lilietnene/c/petitbateau/</v>
          </cell>
          <cell r="N112" t="str">
            <v>ベビー・キッズウエア</v>
          </cell>
          <cell r="O112" t="str">
            <v>BABY</v>
          </cell>
          <cell r="P112" t="str">
            <v>KIDS</v>
          </cell>
          <cell r="Q112" t="str">
            <v>TEEN</v>
          </cell>
          <cell r="R112" t="str">
            <v>WOMAN</v>
          </cell>
          <cell r="U112" t="str">
            <v>ウエア</v>
          </cell>
          <cell r="V112" t="str">
            <v>$SHOP$はPETIT BATEAUの正規販売通販サイトです。子どもから大人まであらゆる世代に受け入れられているフランスの国民的ブランド、プチバトー。シンプルで上品なデザインでコーディネートを楽しく自由に。即日配送（一部地域）もご利用いただけます。</v>
          </cell>
          <cell r="X112" t="str">
            <v/>
          </cell>
          <cell r="Z112" t="str">
            <v>あらゆる世代に受け入れられているフランスの国民的ブランド、プチバトー</v>
          </cell>
          <cell r="AA112" t="str">
            <v>1002012</v>
          </cell>
          <cell r="AB112" t="str">
            <v>2003024</v>
          </cell>
          <cell r="AC112" t="str">
            <v/>
          </cell>
        </row>
        <row r="113">
          <cell r="A113" t="str">
            <v>PETIT PAN</v>
          </cell>
          <cell r="B113" t="str">
            <v>プチパン</v>
          </cell>
          <cell r="C113" t="str">
            <v>pp</v>
          </cell>
          <cell r="D113" t="str">
            <v>petitpan</v>
          </cell>
          <cell r="E113" t="str">
            <v>petitpan</v>
          </cell>
          <cell r="F113" t="str">
            <v>アジアミックスのテキスタイルがパリで人気の「Petit pan」。 カラフルなインテリアグッズや子供服などポップでキュートなキッズアイテムを展開しています。</v>
          </cell>
          <cell r="G113" t="str">
            <v>プチパン,petit pan,アジアミックス,パリ,インテリア,キッズアイテム,Tablier cuisine,Doudou lapin,Mobile tissu,Lit en bois laque</v>
          </cell>
          <cell r="H113" t="str">
            <v>'01509'</v>
          </cell>
          <cell r="I113">
            <v>553</v>
          </cell>
          <cell r="J113" t="str">
            <v>PETIT PAN</v>
          </cell>
          <cell r="K113" t="str">
            <v>zakka brands/PETIT PAN（プチパン）</v>
          </cell>
          <cell r="L113">
            <v>0.42</v>
          </cell>
          <cell r="M113" t="str">
            <v>http://www.lilietnene.com/fs/lilietnene/c/petitpan</v>
          </cell>
          <cell r="N113" t="str">
            <v>インテリア雑貨</v>
          </cell>
          <cell r="S113" t="str">
            <v>GOODS</v>
          </cell>
          <cell r="U113" t="str">
            <v>玩具</v>
          </cell>
          <cell r="X113" t="str">
            <v/>
          </cell>
          <cell r="Z113" t="str">
            <v>カラフルなインテリアグッズや子供服などポップでキュートなキッズアイテム</v>
          </cell>
          <cell r="AA113" t="str">
            <v/>
          </cell>
          <cell r="AB113" t="str">
            <v/>
          </cell>
          <cell r="AC113" t="str">
            <v>9002007</v>
          </cell>
        </row>
        <row r="114">
          <cell r="A114" t="str">
            <v>PIP-SQUEAK CHAPEAU</v>
          </cell>
          <cell r="B114" t="str">
            <v>ピップスクイークシャポー</v>
          </cell>
          <cell r="C114" t="str">
            <v>pc</v>
          </cell>
          <cell r="D114" t="str">
            <v>pip-squeakchapeau</v>
          </cell>
          <cell r="E114" t="str">
            <v>pip-squeakchapeau</v>
          </cell>
          <cell r="F114" t="str">
            <v>100％天然素材のみを使用し、すべてNYのブルックリンにてハンドメイドで作り上げるこだわりのブランド。上質な素材のナチュラルな風合いが生かされたコレクションは、年齢を問わずに楽しめるアイテムが揃います。</v>
          </cell>
          <cell r="G114" t="str">
            <v>PIP-SQUEAK CHAPEAU,ピップスクィーク シャポー,ニューヨーク,NY,brooklyn,レディース服,通販,ブルックリン</v>
          </cell>
          <cell r="H114" t="str">
            <v>'01512'</v>
          </cell>
          <cell r="I114">
            <v>538</v>
          </cell>
          <cell r="J114" t="str">
            <v>PIP-SQUEAK CHAPEAU</v>
          </cell>
          <cell r="K114" t="str">
            <v>fashion brands/P/PIP-SQUEAK CHAPEAU（ピップスクィーク シャポー）</v>
          </cell>
          <cell r="L114">
            <v>0</v>
          </cell>
          <cell r="M114" t="str">
            <v>http://www.lilietnene.com/fs/lilietnene/c/pip-squeakchapeau/</v>
          </cell>
          <cell r="N114" t="str">
            <v>レディースウエア</v>
          </cell>
          <cell r="R114" t="str">
            <v>WOMAN</v>
          </cell>
          <cell r="U114" t="str">
            <v>ウエア</v>
          </cell>
          <cell r="X114" t="str">
            <v/>
          </cell>
          <cell r="Z114" t="str">
            <v>すべてNYのブルックリンにてハンドメイドで作り上げるこだわりのブランド</v>
          </cell>
          <cell r="AA114" t="str">
            <v/>
          </cell>
          <cell r="AB114" t="str">
            <v>2004039</v>
          </cell>
          <cell r="AC114" t="str">
            <v/>
          </cell>
        </row>
        <row r="115">
          <cell r="A115" t="str">
            <v>POLDER</v>
          </cell>
          <cell r="B115" t="str">
            <v>ポルダー</v>
          </cell>
          <cell r="C115" t="str">
            <v>po</v>
          </cell>
          <cell r="D115" t="str">
            <v>polder</v>
          </cell>
          <cell r="E115" t="str">
            <v>polder</v>
          </cell>
          <cell r="F115" t="str">
            <v>マデロンとナタリー姉妹がエルメスを経て2000年にスタートしたブランド。スタイリッシュなアパレルアイテムや、さりげなく身に着けたい洗練されたデザインのアクセサリーが人気です。</v>
          </cell>
          <cell r="G115" t="str">
            <v>POLDER,ポルダー,APRIL SHOWERS,エイプリルシャワーズ,POLDER GIRL,ポルダーガール,パリ,アクセサリー,レディース,キッズ,デザイナー,通販,クラッチバッグ,バッグ,シューズ</v>
          </cell>
          <cell r="H115" t="str">
            <v>'01503'</v>
          </cell>
          <cell r="I115">
            <v>539</v>
          </cell>
          <cell r="J115" t="str">
            <v>POLDER</v>
          </cell>
          <cell r="K115" t="str">
            <v>fashion brands/P/POLDER（ポルダー）</v>
          </cell>
          <cell r="L115">
            <v>0.39</v>
          </cell>
          <cell r="M115" t="str">
            <v>http://www.lilietnene.com/fs/lilietnene/c/polder/</v>
          </cell>
          <cell r="N115" t="str">
            <v>キッズ・レディースウエア、アクセサリー</v>
          </cell>
          <cell r="P115" t="str">
            <v>KIDS</v>
          </cell>
          <cell r="R115" t="str">
            <v>WOMAN</v>
          </cell>
          <cell r="U115" t="str">
            <v>ウエア・雑貨</v>
          </cell>
          <cell r="V115" t="str">
            <v>$SHOP$はPOLDER（ポルダー）の正規販売通販サイトです。マデロンとナタリー姉妹によるキッズ・レディースブランド。スタイリッシュなカラーリングと洗練されたシルエットのアパレルやアクセサリーが人気です。即日配送（一部地域）もご利用いただけます。</v>
          </cell>
          <cell r="X115" t="str">
            <v/>
          </cell>
          <cell r="Z115" t="str">
            <v>フレンチシックで洗練されたデザインが人気</v>
          </cell>
          <cell r="AA115" t="str">
            <v>1003021</v>
          </cell>
          <cell r="AB115" t="str">
            <v>2002015</v>
          </cell>
          <cell r="AC115" t="str">
            <v/>
          </cell>
        </row>
        <row r="116">
          <cell r="A116" t="str">
            <v>PORSELLI</v>
          </cell>
          <cell r="B116" t="str">
            <v>ポルセリ</v>
          </cell>
          <cell r="C116" t="str">
            <v>pr</v>
          </cell>
          <cell r="D116" t="str">
            <v>porselli</v>
          </cell>
          <cell r="E116" t="str">
            <v>porselli</v>
          </cell>
          <cell r="F116" t="str">
            <v>PORSELLI（ポルセリ）はイタリア・ミラノの老舗バレエ用品ブランド。上質な革を使い、伝統の製法を受け継いだ熟練の職人の手で丁寧に作り上げられる、やわらかな履き心地のシューズは世界中で愛されています。</v>
          </cell>
          <cell r="G116" t="str">
            <v>ポルセリ,バレエシューズ,バレエシューズ ポルセリ,ポルセリ 通販,porselli 通販,パンプス お洒落,フラットシューズ ポルセリ,疲れない パンプス, レザー パンプス,イタリア バレエシューズ</v>
          </cell>
          <cell r="H116" t="str">
            <v>01513'</v>
          </cell>
          <cell r="I116">
            <v>150</v>
          </cell>
          <cell r="J116" t="str">
            <v xml:space="preserve">株式会社アーモンド・アイ </v>
          </cell>
          <cell r="K116" t="str">
            <v>fashion brands/P/PORSELLI（ポルセリ）</v>
          </cell>
          <cell r="M116" t="str">
            <v>http://www.lilietnene.com/fs/lilietnene/c/porselli/</v>
          </cell>
          <cell r="N116" t="str">
            <v>レディースシューズ</v>
          </cell>
          <cell r="R116" t="str">
            <v>WOMAN</v>
          </cell>
          <cell r="U116" t="str">
            <v>シューズ</v>
          </cell>
          <cell r="V116" t="str">
            <v>$SHOP$はPORSELLIの正規販売通販サイトです。イタリア・ミラノの老舗バレエ用品ブランド、ポルセリ。上質な革を使い、熟練の職人の手で丁寧に作り上げられる、やわらかな履き心地のシューズが人気。即日配送（一部地域）もご利用いただけます。</v>
          </cell>
          <cell r="X116" t="str">
            <v/>
          </cell>
          <cell r="Z116" t="str">
            <v>イタリア・ミラノの老舗バレエシューズブランド</v>
          </cell>
          <cell r="AA116" t="str">
            <v/>
          </cell>
          <cell r="AB116" t="str">
            <v>2001001</v>
          </cell>
          <cell r="AC116" t="str">
            <v/>
          </cell>
        </row>
        <row r="117">
          <cell r="A117" t="str">
            <v>REPETTO</v>
          </cell>
          <cell r="B117" t="str">
            <v>レペット</v>
          </cell>
          <cell r="C117" t="str">
            <v>re</v>
          </cell>
          <cell r="D117" t="str">
            <v>repetto</v>
          </cell>
          <cell r="E117" t="str">
            <v>repetto</v>
          </cell>
          <cell r="F117" t="str">
            <v>レペット（repetto）は1947年にrose repetto女史がパリに開いて以来、ヨーロッパではクラシックバレエシューズウェアの先駆者であり現在もトップブランドで世界中のダンサーから愛されています。</v>
          </cell>
          <cell r="G117" t="str">
            <v>REPETTO,レペット,バレエシューズ,パリ,レオタード,キッズ,バレエ,シューズ,バッグ,通販</v>
          </cell>
          <cell r="H117" t="str">
            <v>'01701'</v>
          </cell>
          <cell r="I117">
            <v>143</v>
          </cell>
          <cell r="J117" t="str">
            <v>株式会社ルック</v>
          </cell>
          <cell r="K117" t="str">
            <v>fashion brands/R/REPETTO（レペット：バレエ＆シューズ）</v>
          </cell>
          <cell r="L117">
            <v>0.6</v>
          </cell>
          <cell r="M117" t="str">
            <v>http://www.lilietnene.com/fs/lilietnene/c/repetto/</v>
          </cell>
          <cell r="N117" t="str">
            <v>キッズ・ティーンバレエウエア、シューズ</v>
          </cell>
          <cell r="P117" t="str">
            <v>KIDS</v>
          </cell>
          <cell r="Q117" t="str">
            <v>TEEN</v>
          </cell>
          <cell r="U117" t="str">
            <v>バレエ</v>
          </cell>
          <cell r="X117" t="str">
            <v/>
          </cell>
          <cell r="Z117" t="str">
            <v>クラシックバレエシューズウェアのトップブランド、レペット</v>
          </cell>
          <cell r="AA117" t="str">
            <v>1003025</v>
          </cell>
          <cell r="AB117" t="str">
            <v/>
          </cell>
          <cell r="AC117" t="str">
            <v/>
          </cell>
        </row>
        <row r="118">
          <cell r="A118" t="str">
            <v>RICE</v>
          </cell>
          <cell r="B118" t="str">
            <v>ライス</v>
          </cell>
          <cell r="C118" t="str">
            <v>sh</v>
          </cell>
          <cell r="D118" t="str">
            <v>rice</v>
          </cell>
          <cell r="E118" t="str">
            <v>rice</v>
          </cell>
          <cell r="F118" t="str">
            <v>デザイナーのシャーロットと夫の フィリップ によって、デンマークで生まれたカラフルなインテリア雑貨ブランド「ライス」。メラミン食器は、カラーバリエーションが豊富で、普段使いはもちろん、パーティーやピクニック、バーベキューにも最適です。</v>
          </cell>
          <cell r="G118" t="str">
            <v>ライス,rice,rice 雑貨,rice メラミンカップ,rice メラミン,rice デンマーク,カラフル,メラミンカップ6色セット,ガーリーカラー,メラミンショートスプーン6色セット,メラミンディナープレート,プラスチックワイングラス6個セット</v>
          </cell>
          <cell r="H118" t="str">
            <v>'01704'</v>
          </cell>
          <cell r="I118">
            <v>123</v>
          </cell>
          <cell r="J118" t="str">
            <v>湘南インターナショナル株式会社</v>
          </cell>
          <cell r="K118" t="str">
            <v>zakka brands/RICE（ライス）</v>
          </cell>
          <cell r="L118" t="str">
            <v/>
          </cell>
          <cell r="M118" t="str">
            <v>http://www.lilietnene.com/fs/lilietnene/c/rice/</v>
          </cell>
          <cell r="N118" t="str">
            <v>キッチン雑貨</v>
          </cell>
          <cell r="S118" t="str">
            <v>GOODS</v>
          </cell>
          <cell r="U118" t="str">
            <v>キッチン雑貨</v>
          </cell>
          <cell r="X118" t="str">
            <v/>
          </cell>
          <cell r="Z118" t="str">
            <v>キュートなカラーが可愛いライスのメラミン食器</v>
          </cell>
          <cell r="AA118" t="str">
            <v/>
          </cell>
          <cell r="AB118" t="str">
            <v/>
          </cell>
          <cell r="AC118" t="str">
            <v>9002005</v>
          </cell>
        </row>
        <row r="119">
          <cell r="A119" t="str">
            <v>RS GLOBAL TRADE</v>
          </cell>
          <cell r="B119" t="str">
            <v>RSグローバルトレード</v>
          </cell>
          <cell r="C119" t="str">
            <v>pla</v>
          </cell>
          <cell r="D119" t="str">
            <v>rsglobaltrade</v>
          </cell>
          <cell r="E119" t="str">
            <v>rsglobaltrade</v>
          </cell>
          <cell r="F119" t="str">
            <v>ドイツのRSグローバルトレード社の本物と見間違えるほどのツリーは、日本でも1970年代から愛され続けてきました。
永く使うことを前提にしたデザインと品質で組み立て式としては世界随一と言われるています。</v>
          </cell>
          <cell r="H119" t="str">
            <v>-</v>
          </cell>
          <cell r="I119">
            <v>127</v>
          </cell>
          <cell r="J119" t="str">
            <v>株式会社アトリエニキティキ</v>
          </cell>
          <cell r="K119" t="str">
            <v>zakka brands/RS GLOBAL TRADE（RSグローバルトレード）</v>
          </cell>
          <cell r="M119" t="str">
            <v>http://www.lilietnene.com/fs/lilietnene/c/rsglobaltrade/</v>
          </cell>
          <cell r="N119" t="str">
            <v>インテリア雑貨</v>
          </cell>
          <cell r="X119" t="str">
            <v/>
          </cell>
          <cell r="Z119" t="str">
            <v>本物と見間違えるほどの上質なクリスマスツリーが人気</v>
          </cell>
          <cell r="AA119" t="str">
            <v/>
          </cell>
          <cell r="AB119" t="str">
            <v/>
          </cell>
          <cell r="AC119" t="str">
            <v>9001015</v>
          </cell>
        </row>
        <row r="120">
          <cell r="A120" t="str">
            <v>SANS ARCIDET</v>
          </cell>
          <cell r="B120" t="str">
            <v>サンアルシデ</v>
          </cell>
          <cell r="C120" t="str">
            <v>sn</v>
          </cell>
          <cell r="D120" t="str">
            <v>sansarcidet</v>
          </cell>
          <cell r="E120" t="str">
            <v>sansarcidet</v>
          </cell>
          <cell r="F120" t="str">
            <v>かごバッグや帽子で有名なサンアルシデ。ファンの心を掴んで離さない高品質でスタイリッシュなデザインです。 マダガスカル島のラフィア椰子を使ってハンドメイドされています。</v>
          </cell>
          <cell r="G120" t="str">
            <v>san arcidet,サンアルシデ,サンアルシデ カゴバッグ,サンアルシデ 帽子,サンアルシデ,カゴバッグ 通販,ラフィア バッグ,パリ バッグ,ショッピングバッグ,サンアルシデ 公式</v>
          </cell>
          <cell r="H120" t="str">
            <v>'01803'</v>
          </cell>
          <cell r="I120">
            <v>541</v>
          </cell>
          <cell r="J120" t="str">
            <v>SANS ARCIDET</v>
          </cell>
          <cell r="K120" t="str">
            <v>fashion brands/S/SANS ARCIDET（サンアルシデ）</v>
          </cell>
          <cell r="M120" t="str">
            <v>http://www.lilietnene.com/fs/lilietnene/c/sansarcidet/</v>
          </cell>
          <cell r="N120" t="str">
            <v>キッズ・レディースバッグ、ハット</v>
          </cell>
          <cell r="P120" t="str">
            <v>KIDS</v>
          </cell>
          <cell r="U120" t="str">
            <v>ハット</v>
          </cell>
          <cell r="X120" t="str">
            <v/>
          </cell>
          <cell r="Z120" t="str">
            <v>スタイリッシュなデザインのラフィアバッグや帽子で有名なサンアルシデ</v>
          </cell>
          <cell r="AA120" t="str">
            <v>1004031</v>
          </cell>
          <cell r="AB120" t="str">
            <v/>
          </cell>
          <cell r="AC120" t="str">
            <v/>
          </cell>
        </row>
        <row r="121">
          <cell r="A121" t="str">
            <v>SARTORE</v>
          </cell>
          <cell r="B121" t="str">
            <v>サルトル</v>
          </cell>
          <cell r="C121" t="str">
            <v>sa</v>
          </cell>
          <cell r="D121" t="str">
            <v>sartore</v>
          </cell>
          <cell r="E121" t="str">
            <v>sartore</v>
          </cell>
          <cell r="F121" t="str">
            <v>「世界で最も美しい乗馬ブーツをつくるブランド」としてその名が知られているフランス生まれのシューズブランドSARTORE(サルトル)。1997年より生産拠点をイタリアに移し毎シーズン大人の女性にふさわしい上質な一足を提案しています。</v>
          </cell>
          <cell r="G121" t="str">
            <v>SARTORE,サルトル,ブーツ,高品質,高級,パリ,通販,上質,大人</v>
          </cell>
          <cell r="H121" t="str">
            <v>'01807'</v>
          </cell>
          <cell r="I121">
            <v>540</v>
          </cell>
          <cell r="J121" t="str">
            <v>SARTORE</v>
          </cell>
          <cell r="K121" t="str">
            <v>fashion brands/S/SARTORE（サルトル）</v>
          </cell>
          <cell r="L121">
            <v>0</v>
          </cell>
          <cell r="M121" t="str">
            <v>http://www.lilietnene.com/fs/lilietnene/c/sartore/</v>
          </cell>
          <cell r="N121" t="str">
            <v>レディースシューズ</v>
          </cell>
          <cell r="R121" t="str">
            <v>WOMAN</v>
          </cell>
          <cell r="U121" t="str">
            <v>シューズ</v>
          </cell>
          <cell r="X121" t="str">
            <v/>
          </cell>
          <cell r="Z121" t="str">
            <v>世界で最も美しい乗馬ブーツをつくるブランド、サルトル</v>
          </cell>
          <cell r="AA121" t="str">
            <v/>
          </cell>
          <cell r="AB121" t="str">
            <v>2005041</v>
          </cell>
          <cell r="AC121" t="str">
            <v/>
          </cell>
        </row>
        <row r="122">
          <cell r="A122" t="str">
            <v>SEBRA</v>
          </cell>
          <cell r="B122" t="str">
            <v>セブラ</v>
          </cell>
          <cell r="C122" t="str">
            <v>se</v>
          </cell>
          <cell r="D122" t="str">
            <v>sebra</v>
          </cell>
          <cell r="E122" t="str">
            <v>sebra</v>
          </cell>
          <cell r="F122" t="str">
            <v>デンマークで設立されたキッズインテリア・玩具のブランド、sebra（セブラ）。現代的な北欧のデザインの中にも、古きよき時代のハンドメイドのあたたかみが感じられます。</v>
          </cell>
          <cell r="G122" t="str">
            <v>SEBRA,セブラ,B☆Sebraラトル</v>
          </cell>
          <cell r="H122" t="str">
            <v>'01814'</v>
          </cell>
          <cell r="I122">
            <v>123</v>
          </cell>
          <cell r="J122" t="str">
            <v>湘南インターナショナル株式会社</v>
          </cell>
          <cell r="K122" t="str">
            <v>zakka brands/SEBRA（セブラ）</v>
          </cell>
          <cell r="L122">
            <v>0</v>
          </cell>
          <cell r="M122" t="str">
            <v>http://www.lilietnene.com/fs/lilietnene/c/sebra/</v>
          </cell>
          <cell r="N122" t="str">
            <v>ベビー玩具</v>
          </cell>
          <cell r="S122" t="str">
            <v>GOODS</v>
          </cell>
          <cell r="U122" t="str">
            <v>玩具</v>
          </cell>
          <cell r="X122" t="str">
            <v>無し</v>
          </cell>
        </row>
        <row r="123">
          <cell r="A123" t="str">
            <v>SENGER</v>
          </cell>
          <cell r="B123" t="str">
            <v>センガー</v>
          </cell>
          <cell r="C123" t="str">
            <v>sg</v>
          </cell>
          <cell r="D123" t="str">
            <v>senger</v>
          </cell>
          <cell r="E123" t="str">
            <v>senger</v>
          </cell>
          <cell r="F123" t="str">
            <v>ドイツに1985年に設立されたSENGER（ゼンガー）社。グリム童話で有名なグリム兄弟がお話を集めたババリア地方にあります。そこでは自然の中で生きる動物たちを目にすることができ、その動物たちの特徴はぬいぐるみのデザインに活かされています。</v>
          </cell>
          <cell r="G123" t="str">
            <v>センガー,senger,ドイツ,ババリア地方,動物,オーガニックコットン,ぬいぐるみ,白うさぎ,茶うさぎ,チェリー入りぬいぐるみ,ぬいぐるみスリーピー,チェリー入りスリーピー,白くま</v>
          </cell>
          <cell r="H123" t="str">
            <v>'01808'</v>
          </cell>
          <cell r="I123">
            <v>542</v>
          </cell>
          <cell r="J123" t="str">
            <v>SENGER</v>
          </cell>
          <cell r="K123" t="str">
            <v>toy brands/SENGER（センガー）</v>
          </cell>
          <cell r="L123">
            <v>0.45</v>
          </cell>
          <cell r="M123" t="str">
            <v>http://www.lilietnene.com/fs/lilietnene/c/senger</v>
          </cell>
          <cell r="N123" t="str">
            <v>ベビー・キッズ玩具</v>
          </cell>
          <cell r="S123" t="str">
            <v>GOODS</v>
          </cell>
          <cell r="U123" t="str">
            <v>玩具</v>
          </cell>
          <cell r="X123" t="str">
            <v/>
          </cell>
          <cell r="Z123" t="str">
            <v>オーガニック素材のSENGERのぬいぐるみは贈り物にも人気の定番アイテム</v>
          </cell>
          <cell r="AA123" t="str">
            <v/>
          </cell>
          <cell r="AB123" t="str">
            <v/>
          </cell>
          <cell r="AC123" t="str">
            <v>9004001</v>
          </cell>
        </row>
        <row r="124">
          <cell r="A124" t="str">
            <v>SESSUN</v>
          </cell>
          <cell r="B124" t="str">
            <v>セッスン</v>
          </cell>
          <cell r="C124" t="str">
            <v>ss</v>
          </cell>
          <cell r="D124" t="str">
            <v>sessun</v>
          </cell>
          <cell r="E124" t="str">
            <v>sessun</v>
          </cell>
          <cell r="F124" t="str">
            <v>SESSUNは、フランスのデザイナー、エマ・フランソワによって、1995年にマルセイユで設立されたブランド。デザイナーが世界を旅し、様々な国や地域の文化から受けたインスピレーションをデザインに取り入れています。トレンドを取り入れつつ感性を大事にしたデザインがパリジェンヌの間で人気です。</v>
          </cell>
          <cell r="G124" t="str">
            <v>sessun,セッスン,エマフランソワ、バッグ,フランスファッション,パリ,正規販売店,通販</v>
          </cell>
          <cell r="H124" t="str">
            <v>01815'</v>
          </cell>
          <cell r="I124">
            <v>555</v>
          </cell>
          <cell r="J124" t="str">
            <v>SESSUN</v>
          </cell>
          <cell r="K124" t="str">
            <v>fashion brands/S/SESSUN（セッスン）</v>
          </cell>
          <cell r="M124" t="str">
            <v>http://www.lilietnene.com/fs/lilietnene/c/sessun/</v>
          </cell>
          <cell r="N124" t="str">
            <v>レディースウエア</v>
          </cell>
          <cell r="R124" t="str">
            <v>WOMAN</v>
          </cell>
          <cell r="U124" t="str">
            <v>ウエア</v>
          </cell>
          <cell r="X124" t="str">
            <v/>
          </cell>
          <cell r="Z124" t="str">
            <v>伝統とモダンを感じるテイストでパリジェンヌに人気</v>
          </cell>
          <cell r="AA124" t="str">
            <v/>
          </cell>
          <cell r="AB124" t="str">
            <v>2004038</v>
          </cell>
          <cell r="AC124" t="str">
            <v/>
          </cell>
        </row>
        <row r="125">
          <cell r="A125" t="str">
            <v>SIAN BEBE</v>
          </cell>
          <cell r="B125" t="str">
            <v>サイアンベベ</v>
          </cell>
          <cell r="C125" t="str">
            <v>za</v>
          </cell>
          <cell r="D125" t="str">
            <v>sianbebe</v>
          </cell>
          <cell r="E125" t="str">
            <v>sianbebe</v>
          </cell>
          <cell r="F125" t="str">
            <v>イタリアで1922年に創立したサイアン社はベビー用ソープを中心に、ナチュラルで安心な製品を生産してきました。可愛いパッケージも人気です。</v>
          </cell>
          <cell r="G125" t="str">
            <v>サイアンベベ,sian bebe,赤ちゃん シャンプー,出産祝い,シャンプー 赤ちゃん,べべ,ベベ,シャンプー　リンス,シャンプー コンディショナー,bebe ベビー,イタリア,ナチュラル,安心,可愛いパッケージ,ソープ,ボディウォッシュ,タルカムパウダー,ガード,クレンジングミルク,ボディローション</v>
          </cell>
          <cell r="H125" t="str">
            <v>'01806'</v>
          </cell>
          <cell r="I125">
            <v>145</v>
          </cell>
          <cell r="J125" t="str">
            <v>丹波屋株式会社</v>
          </cell>
          <cell r="K125" t="str">
            <v>zakka brands/SIAN BEBE（サイアン ベベ）</v>
          </cell>
          <cell r="L125">
            <v>0.6</v>
          </cell>
          <cell r="M125" t="str">
            <v>http://www.lilietnene.com/fs/lilietnene/c/sianbebe/</v>
          </cell>
          <cell r="N125" t="str">
            <v>スキンケア</v>
          </cell>
          <cell r="S125" t="str">
            <v>GOODS</v>
          </cell>
          <cell r="U125" t="str">
            <v>ボディケア</v>
          </cell>
          <cell r="X125" t="str">
            <v/>
          </cell>
          <cell r="Z125" t="str">
            <v>可愛いパッケージのベビー用ソープがギフトに人気。</v>
          </cell>
          <cell r="AA125" t="str">
            <v/>
          </cell>
          <cell r="AB125" t="str">
            <v/>
          </cell>
          <cell r="AC125" t="str">
            <v>9003002</v>
          </cell>
        </row>
        <row r="126">
          <cell r="A126" t="str">
            <v>SINA</v>
          </cell>
          <cell r="B126" t="str">
            <v>ジーナ</v>
          </cell>
          <cell r="C126" t="str">
            <v>nk</v>
          </cell>
          <cell r="D126" t="str">
            <v>sina</v>
          </cell>
          <cell r="E126" t="str">
            <v>sina</v>
          </cell>
          <cell r="F126" t="str">
            <v>ドイツのノイハウゼンで1991年に創業したジーナ社は、森林で育った健康なブナ材を多く使用し、子供達に安心な玩具を生産しています。その上質な玩具は数々の賞も受けており、ヨーロッパのみならず世界中で愛されています</v>
          </cell>
          <cell r="G126" t="str">
            <v>ジーナ,sina,ジーナ社,ドイツ,ノイハウゼン,ブナ材,ベビーキューブ,ベビー積み木,ミニ箱積木,ハニーフラワー,フォームス99,ジーナビーズ,ハニカム</v>
          </cell>
          <cell r="H126" t="str">
            <v>01816'</v>
          </cell>
          <cell r="I126">
            <v>127</v>
          </cell>
          <cell r="J126" t="str">
            <v>株式会社アトリエニキティキ</v>
          </cell>
          <cell r="K126" t="str">
            <v>toy brands/SINA（ジーナ）</v>
          </cell>
          <cell r="L126" t="str">
            <v/>
          </cell>
          <cell r="M126" t="str">
            <v>http://www.lilietnene.com/fs/lilietnene/c/sina/</v>
          </cell>
          <cell r="N126" t="str">
            <v>キッズ玩具</v>
          </cell>
          <cell r="S126" t="str">
            <v>GOODS</v>
          </cell>
          <cell r="U126" t="str">
            <v>ウエア</v>
          </cell>
          <cell r="X126" t="str">
            <v/>
          </cell>
          <cell r="Z126" t="str">
            <v>ドイツのノイハウゼンで1991年に創業したジーナ社</v>
          </cell>
          <cell r="AA126" t="str">
            <v/>
          </cell>
          <cell r="AB126" t="str">
            <v/>
          </cell>
          <cell r="AC126" t="str">
            <v>9004006</v>
          </cell>
        </row>
        <row r="127">
          <cell r="A127" t="str">
            <v>SOEUR</v>
          </cell>
          <cell r="B127" t="str">
            <v>スール</v>
          </cell>
          <cell r="C127" t="str">
            <v>sr</v>
          </cell>
          <cell r="D127" t="str">
            <v>soeur</v>
          </cell>
          <cell r="E127" t="str">
            <v>soeur</v>
          </cell>
          <cell r="F127" t="str">
            <v>パリのSOEURは、BonpointやBontonで経験を積んだドミティル・ブリオンとアンジェリックの姉妹が、ふたりの娘たちへと立ち上げたティーン向けブランド。上品なキュートさがのぞくコレクションを展開。</v>
          </cell>
          <cell r="G127" t="str">
            <v>SOEUR,スール,パリ,子供服,ティーン,ジュニア,レディース,カジュアル,通販</v>
          </cell>
          <cell r="H127" t="str">
            <v>'01812'</v>
          </cell>
          <cell r="I127">
            <v>543</v>
          </cell>
          <cell r="J127" t="str">
            <v>SOEUR</v>
          </cell>
          <cell r="K127" t="str">
            <v>fashion brands/S/SOEUR（スール）</v>
          </cell>
          <cell r="L127">
            <v>0.4</v>
          </cell>
          <cell r="M127" t="str">
            <v>http://www.lilietnene.com/fs/lilietnene/c/soeur/</v>
          </cell>
          <cell r="N127" t="str">
            <v>ティーン・レディースウエア</v>
          </cell>
          <cell r="P127" t="str">
            <v>KIDS</v>
          </cell>
          <cell r="R127" t="str">
            <v>WOMAN</v>
          </cell>
          <cell r="U127" t="str">
            <v>ウエア</v>
          </cell>
          <cell r="X127" t="str">
            <v/>
          </cell>
          <cell r="Z127" t="str">
            <v>上品な中にもキュートさがのぞくコレクション</v>
          </cell>
          <cell r="AA127" t="str">
            <v>1004036</v>
          </cell>
          <cell r="AB127" t="str">
            <v/>
          </cell>
          <cell r="AC127" t="str">
            <v/>
          </cell>
        </row>
        <row r="128">
          <cell r="A128" t="str">
            <v>SOFIE D'HOORE</v>
          </cell>
          <cell r="B128" t="str">
            <v>ソフィードール</v>
          </cell>
          <cell r="C128" t="str">
            <v>sf</v>
          </cell>
          <cell r="D128" t="str">
            <v>sofiedhoore</v>
          </cell>
          <cell r="E128" t="str">
            <v>sofiedhoore</v>
          </cell>
          <cell r="F128" t="str">
            <v>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v>
          </cell>
          <cell r="G128" t="str">
            <v>SOFIE D'HOORE,ソフィードール,ベルギー,レディース服,お洒落,デザイナー,大人服,ワンピース,コート,通販,雑誌掲載</v>
          </cell>
          <cell r="H128" t="str">
            <v>'01810'</v>
          </cell>
          <cell r="I128">
            <v>544</v>
          </cell>
          <cell r="J128" t="str">
            <v>SOFIE D'HOORE</v>
          </cell>
          <cell r="K128" t="str">
            <v>fashion brands/S/SOFIE D'HOORE（ソフィードール）</v>
          </cell>
          <cell r="L128" t="str">
            <v/>
          </cell>
          <cell r="M128" t="str">
            <v>http://www.lilietnene.com/fs/lilietnene/c/sofiedhoore/</v>
          </cell>
          <cell r="N128" t="str">
            <v>レディースウエア</v>
          </cell>
          <cell r="R128" t="str">
            <v>WOMAN</v>
          </cell>
          <cell r="U128" t="str">
            <v>ウエア</v>
          </cell>
          <cell r="V128" t="str">
            <v>$SHOP$はSOFIE D'HOOREの正規販売通販サイトです。ベルギーのアントワープ生まれのデザイナー、ソフィードール。上質な素材選び、着心地の良さ、シルエットの美しさなどを追及したスタイルが人気。即日配送（一部地域）もご利用いただけます。</v>
          </cell>
          <cell r="X128" t="str">
            <v/>
          </cell>
          <cell r="Z128" t="str">
            <v>時代に左右されることなく、時を経ても新鮮さを失わない上質さが人気</v>
          </cell>
          <cell r="AA128" t="str">
            <v/>
          </cell>
          <cell r="AB128" t="str">
            <v>2001006</v>
          </cell>
          <cell r="AC128" t="str">
            <v/>
          </cell>
        </row>
        <row r="129">
          <cell r="A129" t="str">
            <v>SOPHIE DIGARD</v>
          </cell>
          <cell r="B129" t="str">
            <v>ソフィー・ディガール</v>
          </cell>
          <cell r="C129" t="str">
            <v>sd</v>
          </cell>
          <cell r="D129" t="str">
            <v>sophiedigard</v>
          </cell>
          <cell r="E129" t="str">
            <v>sophiedigard</v>
          </cell>
          <cell r="F129" t="str">
            <v>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v>
          </cell>
          <cell r="G129" t="str">
            <v>SOPHIE DIGARD,ソフィー・ディガール,フランス,ニット,アクセサリー,ネックレス,ストール,通販,クロシェ,かぎ編み</v>
          </cell>
          <cell r="H129" t="str">
            <v>'01801'</v>
          </cell>
          <cell r="I129">
            <v>545</v>
          </cell>
          <cell r="J129" t="str">
            <v>SOPHIE DIGARD</v>
          </cell>
          <cell r="K129" t="str">
            <v>fashion brands/S/SOPHIE DIGARD（ソフィー・ディガール）</v>
          </cell>
          <cell r="L129">
            <v>0.38</v>
          </cell>
          <cell r="M129" t="str">
            <v>http://www.lilietnene.com/fs/lilietnene/c/sophiedigard/</v>
          </cell>
          <cell r="N129" t="str">
            <v>レディースアクセサリー</v>
          </cell>
          <cell r="R129" t="str">
            <v>WOMAN</v>
          </cell>
          <cell r="U129" t="str">
            <v>ストール・バッグ</v>
          </cell>
          <cell r="V129" t="str">
            <v>$SHOP$はSOPHIE DIGARDの正規販売通販サイトです。モチーフ編みのバッグやアクセサリーを展開するパリのソフィーディガール。繊細なデザインの、職人による丁寧なハンドメイド作品は多くのファンを魅了しています。即日配送（一部地域）もご利用いただけます。</v>
          </cell>
          <cell r="X129" t="str">
            <v/>
          </cell>
          <cell r="Z129" t="str">
            <v>世界中にファンが広がるソフィー・ディガールのアクセサリー</v>
          </cell>
          <cell r="AA129" t="str">
            <v/>
          </cell>
          <cell r="AB129" t="str">
            <v>2001003</v>
          </cell>
          <cell r="AC129" t="str">
            <v/>
          </cell>
        </row>
        <row r="130">
          <cell r="A130" t="str">
            <v>STOCKMAR</v>
          </cell>
          <cell r="B130" t="str">
            <v>シュトックマー</v>
          </cell>
          <cell r="C130" t="str">
            <v>st</v>
          </cell>
          <cell r="D130" t="str">
            <v>stockmar</v>
          </cell>
          <cell r="E130" t="str">
            <v>stockmar</v>
          </cell>
          <cell r="F130" t="str">
            <v>ドイツの画材メーカーSTOCKMAR。シュタイナー学校の先生方と協力し、蜜ろうクレヨン、蜜ろう粘土、水彩絵の具を開発してきました。より洗練された製品作りを目指して常に改良を重ね、子どもたちが良質な体験ができるように今も努力を続けています。</v>
          </cell>
          <cell r="G130" t="str">
            <v>シュトックマー,stockmar,シュトックマー社 蜜ろうクレヨン,シュトックマー社,シュトックマー クレヨン,蜜蝋,蜜蝋クレヨン シュトックマー,ドイツ,画材メーカー,シュタイナー学校,JIS基準,EN71,12色,16色,24色</v>
          </cell>
          <cell r="H130" t="str">
            <v>'01809'</v>
          </cell>
          <cell r="I130">
            <v>116</v>
          </cell>
          <cell r="J130" t="str">
            <v>株式会社おもちゃ箱</v>
          </cell>
          <cell r="K130" t="str">
            <v>zakka brands/STOCKMAR（シュトックマー）</v>
          </cell>
          <cell r="L130" t="str">
            <v/>
          </cell>
          <cell r="M130" t="str">
            <v>http://www.lilietnene.com/fs/lilietnene/c/stockmar/</v>
          </cell>
          <cell r="N130" t="str">
            <v>ステーショナリー</v>
          </cell>
          <cell r="S130" t="str">
            <v>GOODS</v>
          </cell>
          <cell r="U130" t="str">
            <v>ステーショナリー</v>
          </cell>
          <cell r="X130" t="str">
            <v/>
          </cell>
          <cell r="Z130" t="str">
            <v>ドイツの画材メーカーSTOCKMARのクレヨンは蜜ろうを使用した高い透明感と美しい発色が特徴</v>
          </cell>
          <cell r="AA130" t="str">
            <v/>
          </cell>
          <cell r="AB130" t="str">
            <v/>
          </cell>
          <cell r="AC130" t="str">
            <v>9002011</v>
          </cell>
        </row>
        <row r="131">
          <cell r="A131" t="str">
            <v>SWILDENS</v>
          </cell>
          <cell r="B131" t="str">
            <v>スウィルデンズ</v>
          </cell>
          <cell r="C131" t="str">
            <v>sw</v>
          </cell>
          <cell r="D131" t="str">
            <v>swildens</v>
          </cell>
          <cell r="E131" t="str">
            <v>swildens</v>
          </cell>
          <cell r="F131" t="str">
            <v>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v>
          </cell>
          <cell r="G131" t="str">
            <v>SWILDENS,スウィルデンズ,パリ,子供服,ティーン,ジュニア,レディース,カジュアル,通販</v>
          </cell>
          <cell r="H131" t="str">
            <v>'00012'</v>
          </cell>
          <cell r="I131">
            <v>547</v>
          </cell>
          <cell r="J131" t="str">
            <v>SWILDENS</v>
          </cell>
          <cell r="K131" t="str">
            <v>fashion brands/S/SWILDENS（スウィルデンズ）</v>
          </cell>
          <cell r="L131">
            <v>0.38</v>
          </cell>
          <cell r="M131" t="str">
            <v>http://www.lilietnene.com/fs/lilietnene/c/swildens/</v>
          </cell>
          <cell r="N131" t="str">
            <v>ティーン・レディースウエア</v>
          </cell>
          <cell r="O131" t="str">
            <v>KIDS</v>
          </cell>
          <cell r="R131" t="str">
            <v>WOMAN</v>
          </cell>
          <cell r="U131" t="str">
            <v>ウエア</v>
          </cell>
          <cell r="X131" t="str">
            <v/>
          </cell>
          <cell r="Z131" t="str">
            <v>ボヘミアン、シック、ロック、クラシックなど様々なエレメンツを詰め込んだ、タイムレスなデザイン</v>
          </cell>
          <cell r="AA131" t="str">
            <v/>
          </cell>
          <cell r="AB131" t="str">
            <v>2004031</v>
          </cell>
          <cell r="AC131" t="str">
            <v/>
          </cell>
        </row>
        <row r="132">
          <cell r="A132" t="str">
            <v>TALC</v>
          </cell>
          <cell r="B132" t="str">
            <v>タルク</v>
          </cell>
          <cell r="C132" t="str">
            <v>tc</v>
          </cell>
          <cell r="D132" t="str">
            <v>talc</v>
          </cell>
          <cell r="E132" t="str">
            <v>talc</v>
          </cell>
          <cell r="F132" t="str">
            <v>2007年にCatherineChabasとThereseYangによってスタートし、パリのマレとサンジェルマンにショップを構える、子ども服ブランドTALC（タルク）。シンプルでベーシックな要素と個性的なディティールが魅力。シックなカラー展開は幅広いシチュエーションで活躍します。</v>
          </cell>
          <cell r="G132" t="str">
            <v>TALC,タルク,ワンピース</v>
          </cell>
          <cell r="H132" t="str">
            <v>'01907'</v>
          </cell>
          <cell r="I132">
            <v>548</v>
          </cell>
          <cell r="J132" t="str">
            <v>TALC</v>
          </cell>
          <cell r="K132" t="str">
            <v>fashion brands/T/TALC（タルク）</v>
          </cell>
          <cell r="L132">
            <v>0.38</v>
          </cell>
          <cell r="M132" t="str">
            <v>http://www.lilietnene.com/fs/lilietnene/c/talc/</v>
          </cell>
          <cell r="N132" t="str">
            <v>キッズウエア</v>
          </cell>
          <cell r="P132" t="str">
            <v>KIDS</v>
          </cell>
          <cell r="U132" t="str">
            <v>ウエア</v>
          </cell>
          <cell r="W132"/>
          <cell r="X132" t="str">
            <v>無し</v>
          </cell>
        </row>
        <row r="133">
          <cell r="A133" t="str">
            <v>TAMAR MOGENDORFF</v>
          </cell>
          <cell r="B133" t="str">
            <v>タマーモーゲンドルフ</v>
          </cell>
          <cell r="C133" t="str">
            <v>tm</v>
          </cell>
          <cell r="D133" t="str">
            <v>tamarmogendorff</v>
          </cell>
          <cell r="E133" t="str">
            <v>tamarmogendorff</v>
          </cell>
          <cell r="F133" t="str">
            <v>動物・鳥など様々なモチーフを表情豊かに作り出す、TamarMogendorff。独創性と雰囲気のあるカラーリングが見るものを魅了します。</v>
          </cell>
          <cell r="G133" t="str">
            <v>TAMAR MOGENDORFF,タマーモーゲンドルフ,ブルックリン</v>
          </cell>
          <cell r="H133" t="str">
            <v>'01908'</v>
          </cell>
          <cell r="I133">
            <v>549</v>
          </cell>
          <cell r="J133" t="str">
            <v>TAMAR (SEED INC)</v>
          </cell>
          <cell r="K133" t="str">
            <v>zakka brands/TAMAR MOGENDORFF（タマー・モーゲンドルフ）</v>
          </cell>
          <cell r="L133" t="str">
            <v/>
          </cell>
          <cell r="M133" t="str">
            <v>http://www.lilietnene.com/fs/lilietnene/c/tamarmogendorff</v>
          </cell>
          <cell r="N133" t="str">
            <v>アート・オブジェ</v>
          </cell>
          <cell r="S133" t="str">
            <v>GOODS</v>
          </cell>
          <cell r="U133" t="str">
            <v>アート・オブジェ</v>
          </cell>
          <cell r="X133" t="str">
            <v/>
          </cell>
          <cell r="Z133" t="str">
            <v>動物・鳥など様々なモチーフを表情豊かに作り出す、タマー・モーゲンドルフ</v>
          </cell>
          <cell r="AA133" t="str">
            <v/>
          </cell>
          <cell r="AB133" t="str">
            <v/>
          </cell>
          <cell r="AC133" t="str">
            <v>9002004</v>
          </cell>
        </row>
        <row r="134">
          <cell r="A134" t="str">
            <v>TAU</v>
          </cell>
          <cell r="B134" t="str">
            <v>タウ</v>
          </cell>
          <cell r="C134" t="str">
            <v>nk</v>
          </cell>
          <cell r="D134" t="str">
            <v>tau</v>
          </cell>
          <cell r="E134" t="str">
            <v>tau</v>
          </cell>
          <cell r="F134" t="str">
            <v>ドイツのTAU社で丁寧につくられた、本革製（ヌメ革）のキーホルダー。質のよいナチュラルなヌメ革で、使い込むほどにレザーの味わいをお楽しみいただけます。</v>
          </cell>
          <cell r="H134" t="str">
            <v>'01904'</v>
          </cell>
          <cell r="I134">
            <v>127</v>
          </cell>
          <cell r="J134" t="str">
            <v>株式会社アトリエニキティキ</v>
          </cell>
          <cell r="K134" t="str">
            <v xml:space="preserve"> zakka brands/キーリング/TAU（タウ）</v>
          </cell>
          <cell r="L134" t="str">
            <v/>
          </cell>
          <cell r="M134" t="str">
            <v>http://www.lilietnene.com/fs/lilietnene/c/tau/</v>
          </cell>
          <cell r="N134" t="str">
            <v>アクセサリー</v>
          </cell>
          <cell r="X134" t="str">
            <v/>
          </cell>
          <cell r="Z134" t="str">
            <v>動物の特徴をユーモラスにとらえているオシャレ感あるキーリング</v>
          </cell>
          <cell r="AA134" t="str">
            <v/>
          </cell>
          <cell r="AB134" t="str">
            <v/>
          </cell>
          <cell r="AC134" t="str">
            <v>9001016</v>
          </cell>
        </row>
        <row r="135">
          <cell r="A135" t="str">
            <v>10IS</v>
          </cell>
          <cell r="B135" t="str">
            <v>テンイズ</v>
          </cell>
          <cell r="C135" t="str">
            <v>is</v>
          </cell>
          <cell r="D135" t="str">
            <v>10is</v>
          </cell>
          <cell r="E135" t="str">
            <v>10is</v>
          </cell>
          <cell r="F135" t="str">
            <v>カラフルでバリエーション豊富なスニーカーが揃うフランスのシューズブランド「10IS」は、こどもに欠かせない耐久性や快適な履き心地、ファッション性を兼ね備えたシューズを展開しています。</v>
          </cell>
          <cell r="G135" t="str">
            <v>10IS,テンイズ,パリ,スニーカー,キッズ,スプリングコート,ベルクロ,通販</v>
          </cell>
          <cell r="H135" t="str">
            <v>'02701'</v>
          </cell>
          <cell r="I135">
            <v>501</v>
          </cell>
          <cell r="J135" t="str">
            <v>10-IS (RAS KIDS)</v>
          </cell>
          <cell r="K135" t="str">
            <v>fashion brands/T/10IS（テンイズ）</v>
          </cell>
          <cell r="L135">
            <v>0</v>
          </cell>
          <cell r="M135" t="str">
            <v>http://www.lilietnene.com/fs/lilietnene/c/10is/</v>
          </cell>
          <cell r="N135" t="str">
            <v>キッズシューズ</v>
          </cell>
          <cell r="P135" t="str">
            <v>KIDS</v>
          </cell>
          <cell r="U135" t="str">
            <v>シューズ</v>
          </cell>
          <cell r="W135"/>
          <cell r="X135" t="str">
            <v>無し</v>
          </cell>
        </row>
        <row r="136">
          <cell r="A136" t="str">
            <v>TRADITIONAL WEATHERWEAR</v>
          </cell>
          <cell r="B136" t="str">
            <v>トラディショナルウェザーウエア</v>
          </cell>
          <cell r="C136" t="str">
            <v>tw</v>
          </cell>
          <cell r="D136" t="str">
            <v>tww</v>
          </cell>
          <cell r="E136" t="str">
            <v>tww</v>
          </cell>
          <cell r="F136" t="str">
            <v>TRADITIONAL WEATHERWEAR（トラディショナルウェザーウェア）は、セレクトショップで注目されているゴム引きコート『マッキントッシュ』社のセカンドライン。英国の伝統的でスタイリッシュなアウターが特徴です。</v>
          </cell>
          <cell r="G136" t="str">
            <v>TRADITIONAL WEATHERWEAR,トラディショナルウェザーウェア,レディース服,バッグ,傘,マッキントッシュ, 英国ブランド,通販,ワンピース,リバティ</v>
          </cell>
          <cell r="H136" t="str">
            <v>'01902'</v>
          </cell>
          <cell r="I136">
            <v>148</v>
          </cell>
          <cell r="J136" t="str">
            <v>インターブリッジ株式会社</v>
          </cell>
          <cell r="K136" t="str">
            <v>fashion brands/T/TRADITIONAL WEATHERWEAR（トラディショナルウェザーウェア）</v>
          </cell>
          <cell r="L136">
            <v>0.57999999999999996</v>
          </cell>
          <cell r="M136" t="str">
            <v>http://www.lilietnene.com/fs/lilietnene/c/tww/</v>
          </cell>
          <cell r="N136" t="str">
            <v>レディースウエア・バッグ・傘</v>
          </cell>
          <cell r="R136" t="str">
            <v>WOMAN</v>
          </cell>
          <cell r="U136" t="str">
            <v>ウエア・バッグ・傘</v>
          </cell>
          <cell r="V136" t="str">
            <v>$SHOP$はTRADITIONAL WEATHERWEAR（トラディショナルウェザーウェア）の正規販売通販サイトです。英国マッキントッシュ社による、英国の伝統的なウエアに今の気分をプラスしたベーシックカジュアルなコレクションを展開。即日配送（一部地域）もご利用いただけます。</v>
          </cell>
          <cell r="X136" t="str">
            <v/>
          </cell>
          <cell r="Z136" t="str">
            <v>英国「マッキントッシュ」社のセカンドライン、トラディショナルウェザーウェア</v>
          </cell>
          <cell r="AA136" t="str">
            <v/>
          </cell>
          <cell r="AB136" t="str">
            <v>2002017</v>
          </cell>
          <cell r="AC136" t="str">
            <v/>
          </cell>
        </row>
        <row r="137">
          <cell r="A137" t="str">
            <v>TROUSSELIER</v>
          </cell>
          <cell r="B137" t="str">
            <v>トラセリア</v>
          </cell>
          <cell r="C137" t="str">
            <v>ts</v>
          </cell>
          <cell r="D137" t="str">
            <v>trousselier</v>
          </cell>
          <cell r="E137" t="str">
            <v>trousselier</v>
          </cell>
          <cell r="F137" t="str">
            <v>1973年にフランスで誕生したトラセリアは「生活をアートする」というコンセプトのもと、シンプルなもの創りにより、常に高い人気を得ています。商品は全てヨーロッパの安全基準である「ＣＥ」に合格しているのでお子様にも安心してお使い頂けます</v>
          </cell>
          <cell r="G137" t="str">
            <v>trousselier,トラセリア,赤ちゃん用品,赤ちゃん　玩具,出産祝　ギフト,雑貨　フランス,ベビー用品　おもちゃ,ベビー 赤ちゃん,ベビー おもちゃ,トラセリア モビール,トラセリア リバティ,トラセリア ベッドメリー,トラセリア メリー,トラセリア バッグ,トラセリア ぬいぐるみ,トラセリア サミーベア,トラセリア サミーバニー,トラセリア オルゴール,セレクト 雑貨,trousselier トラセリア,baby用品,フランス,ヨーロッパ安全基準,ＣＥ,安全基準ＣＥ,CE Marking,CEマーキング</v>
          </cell>
          <cell r="H137" t="str">
            <v>'01903'</v>
          </cell>
          <cell r="I137">
            <v>128</v>
          </cell>
          <cell r="J137" t="str">
            <v>株式会社ネックス</v>
          </cell>
          <cell r="K137" t="str">
            <v>toy brands/TROUSSELIER（トラセリア）</v>
          </cell>
          <cell r="L137" t="str">
            <v/>
          </cell>
          <cell r="M137" t="str">
            <v>http://www.lilietnene.com/fs/lilietnene/c/trousselier/</v>
          </cell>
          <cell r="N137" t="str">
            <v>ベビー・キッズ玩具</v>
          </cell>
          <cell r="S137" t="str">
            <v>GOODS</v>
          </cell>
          <cell r="U137" t="str">
            <v>玩具</v>
          </cell>
          <cell r="X137" t="str">
            <v/>
          </cell>
          <cell r="Z137" t="str">
            <v>1973年にフランスで誕生したトラセリア</v>
          </cell>
          <cell r="AA137" t="str">
            <v/>
          </cell>
          <cell r="AB137" t="str">
            <v/>
          </cell>
          <cell r="AC137" t="str">
            <v>9004002</v>
          </cell>
        </row>
        <row r="138">
          <cell r="A138" t="str">
            <v>T.YAMAI</v>
          </cell>
          <cell r="B138" t="str">
            <v>ティヤマイ</v>
          </cell>
          <cell r="C138" t="str">
            <v>ty</v>
          </cell>
          <cell r="D138" t="str">
            <v>tyamai</v>
          </cell>
          <cell r="E138" t="str">
            <v>tyamai</v>
          </cell>
          <cell r="F138" t="str">
            <v>日本人デザイナー・山井孝氏によるブランド『t.yamai』はベーシックな中にもフェミニンで上品なデザインが多くのファンを魅了しています。</v>
          </cell>
          <cell r="G138" t="str">
            <v>T.YAMAI,ティ・ヤマイ,ワンピース,リバティ,お洒落,大人服,レディース,デザイナー,通販,雑誌掲載</v>
          </cell>
          <cell r="H138" t="str">
            <v>'01901'</v>
          </cell>
          <cell r="I138">
            <v>141</v>
          </cell>
          <cell r="J138" t="str">
            <v>株式会社ラインズシステム</v>
          </cell>
          <cell r="K138" t="str">
            <v>fashion brands/T/T.YAMAI（ティ・ヤマイ）</v>
          </cell>
          <cell r="M138" t="str">
            <v>http://www.lilietnene.com/fs/lilietnene/c/tyamai/</v>
          </cell>
          <cell r="N138" t="str">
            <v>レディースウエア</v>
          </cell>
          <cell r="R138" t="str">
            <v>WOMAN</v>
          </cell>
          <cell r="U138" t="str">
            <v>ウエア</v>
          </cell>
          <cell r="V138" t="str">
            <v>$SHOP$はT.YAMAIの正規販売通販サイトです。パリ在住の日本人デザイナー・山井孝氏によるレディースウエアブランド、ティ・ヤマイ。ベーシックな中にもフェミニンで上品なデザインが多くのファンを魅了しています。即日配送（一部地域）もご利用いただけます。</v>
          </cell>
          <cell r="X138" t="str">
            <v/>
          </cell>
          <cell r="Z138" t="str">
            <v>ベーシックなアイテムに今の気分を取り入れたニュースタンダードが人気のティ・ヤマイ</v>
          </cell>
          <cell r="AA138" t="str">
            <v/>
          </cell>
          <cell r="AB138" t="str">
            <v>2001002</v>
          </cell>
          <cell r="AC138" t="str">
            <v/>
          </cell>
        </row>
        <row r="139">
          <cell r="A139" t="str">
            <v>VILAC</v>
          </cell>
          <cell r="B139" t="str">
            <v>ヴィラック</v>
          </cell>
          <cell r="C139" t="str">
            <v>vc</v>
          </cell>
          <cell r="D139" t="str">
            <v>vilac</v>
          </cell>
          <cell r="E139" t="str">
            <v>vilac</v>
          </cell>
          <cell r="F139" t="str">
            <v>フランスの歴史ある木製オモチャのVILACは良質な木を使い、職人たちによって作られています。その温か味ある風合いとデザイン性や安全性など各国から高い評価を受けております。</v>
          </cell>
          <cell r="G139" t="str">
            <v>ヴィラック,vilac,フランス,職人,安全,デザイン性,ローリングカー,魚釣りゲーム,ボールのお家,ベビーレディーバグ,プルトイ,スイートドック,奈良美智,コラボレート,はめこみパズル,プッシュバイク,パピー,ボーリングゲーム,流氷魚釣りゲーム,積み木トラック,ハンドバッグ,パズル,ナタリー・レテ</v>
          </cell>
          <cell r="H139" t="str">
            <v>'02101'</v>
          </cell>
          <cell r="I139">
            <v>114</v>
          </cell>
          <cell r="J139" t="str">
            <v>株式会社エトランジェ　ディ　コスタリカ</v>
          </cell>
          <cell r="K139" t="str">
            <v>toy brands/VILAC（ヴィラック）</v>
          </cell>
          <cell r="L139">
            <v>0.57999999999999996</v>
          </cell>
          <cell r="M139" t="str">
            <v>http://www.lilietnene.com/fs/lilietnene/c/vilac/</v>
          </cell>
          <cell r="N139" t="str">
            <v>キッズ玩具</v>
          </cell>
          <cell r="S139" t="str">
            <v>GOODS</v>
          </cell>
          <cell r="U139" t="str">
            <v>玩具</v>
          </cell>
          <cell r="X139" t="str">
            <v/>
          </cell>
          <cell r="Z139" t="str">
            <v>フランスの歴史ある木製オモチャのVILACは良質な木を使い、職人たちによって作られています</v>
          </cell>
          <cell r="AA139" t="str">
            <v/>
          </cell>
          <cell r="AB139" t="str">
            <v/>
          </cell>
          <cell r="AC139" t="str">
            <v>9004013</v>
          </cell>
        </row>
        <row r="140">
          <cell r="A140" t="str">
            <v>WOOLRICH</v>
          </cell>
          <cell r="B140" t="str">
            <v>ウールリッチ</v>
          </cell>
          <cell r="C140" t="str">
            <v>wr</v>
          </cell>
          <cell r="D140" t="str">
            <v>woolrich</v>
          </cell>
          <cell r="E140" t="str">
            <v>woolrich</v>
          </cell>
          <cell r="F140" t="str">
            <v>創業180年のアメリカ・ペンシルバニア州のアウトドアブランド、WOOLRICH。原料の調達から製品までの一貫した生産を行える、信頼ある会社としてアメリカで名を広めました。</v>
          </cell>
          <cell r="G140" t="str">
            <v>woolrich,ウールリッチ,ペンシルバニア,ジョン・リッチ2世,ブランケット,膝掛け,ひざ掛け,Woolrich Blankets for Japan,バッファローチェック,通販</v>
          </cell>
          <cell r="H140" t="str">
            <v>02203'</v>
          </cell>
          <cell r="I140">
            <v>115</v>
          </cell>
          <cell r="J140" t="str">
            <v>株式会社エヌディーシージャパン</v>
          </cell>
          <cell r="K140" t="str">
            <v>fashion brands/W/WOOLRICH（ウールリッチ）</v>
          </cell>
          <cell r="M140" t="str">
            <v>http://www.lilietnene.com/fs/lilietnene/c/woolrich/</v>
          </cell>
          <cell r="N140" t="str">
            <v>インテリア雑貨</v>
          </cell>
          <cell r="S140" t="str">
            <v>GOODS</v>
          </cell>
          <cell r="U140" t="str">
            <v>インテリア・ハウスウエア</v>
          </cell>
          <cell r="X140" t="str">
            <v/>
          </cell>
          <cell r="Z140" t="str">
            <v>創業180年を超える歴史を持つ、アメリカ・ペンシルバニア州のアウトドアブランド</v>
          </cell>
          <cell r="AA140" t="str">
            <v/>
          </cell>
          <cell r="AB140" t="str">
            <v/>
          </cell>
          <cell r="AC140" t="str">
            <v>9001012</v>
          </cell>
        </row>
        <row r="141">
          <cell r="A141" t="str">
            <v>WOUTERS &amp; HENDRIX</v>
          </cell>
          <cell r="B141" t="str">
            <v>ウッターズアンドヘンドリクス</v>
          </cell>
          <cell r="C141" t="str">
            <v>*hp</v>
          </cell>
          <cell r="D141" t="str">
            <v>wouters</v>
          </cell>
          <cell r="E141" t="str">
            <v>wouters</v>
          </cell>
          <cell r="F141" t="str">
            <v>デザイナーのカトリン・ウッターとカレン・ヘンドリックスは1985年にスタートさせた、WOUTERS &amp;amp; HENDRIXのジュエリーは精妙なハンドワークとクチュール的な仕上がりを特徴とし、ゆるぎない技術と独特のユーモアをあわせ持った、大胆な作品を生み出しています。</v>
          </cell>
          <cell r="G141" t="str">
            <v>アントワープ,ウッターズ・アンド・ヘンドリックス,ウッター・アンド・ヘンドリックス,ウッター・アンド・ヘンドリクス,ウッターズ・アンド・ヘンドリクス,カトリン・ウッター,カレン・ヘンドリックス,ドリス・ヴァン・ノッテン,マルタン・マルジェラ,半貴石,ファンタジージュエリー,シルバージュエリー</v>
          </cell>
          <cell r="H141" t="str">
            <v>'02202'</v>
          </cell>
          <cell r="I141">
            <v>111</v>
          </cell>
          <cell r="J141" t="str">
            <v>アッシュ・ペー・フランス株式会社</v>
          </cell>
          <cell r="K141" t="str">
            <v>-</v>
          </cell>
          <cell r="M141" t="str">
            <v>-</v>
          </cell>
          <cell r="N141" t="str">
            <v>レディースアクセサリー</v>
          </cell>
          <cell r="R141" t="str">
            <v>WOMAN</v>
          </cell>
          <cell r="U141" t="str">
            <v>アクセサリー</v>
          </cell>
          <cell r="W141"/>
          <cell r="X141" t="str">
            <v>無し</v>
          </cell>
        </row>
        <row r="142">
          <cell r="A142" t="str">
            <v>ZEF</v>
          </cell>
          <cell r="B142" t="str">
            <v>ゼフ</v>
          </cell>
          <cell r="C142" t="str">
            <v>zf</v>
          </cell>
          <cell r="D142" t="str">
            <v>zef</v>
          </cell>
          <cell r="E142" t="str">
            <v>zef</v>
          </cell>
          <cell r="F142" t="str">
            <v>フランスでは「Vogue」や「milk」などでも紹介されている人気子供服ブランドZEF。エスニックテイストなどを始めとして上質でフランスならではの素敵なセンスと上質さを散りばめたアイテムが注目を集めています。</v>
          </cell>
          <cell r="G142" t="str">
            <v>ZEF,ゼフ,子供服,パリ,ベビー服,スタープリント,星プリント,カジュアル,フレンチ,通販</v>
          </cell>
          <cell r="H142" t="str">
            <v>'02501'</v>
          </cell>
          <cell r="I142">
            <v>551</v>
          </cell>
          <cell r="J142" t="str">
            <v>ZEF</v>
          </cell>
          <cell r="K142" t="str">
            <v>fashion brands/Z/ZEF（ゼフ）</v>
          </cell>
          <cell r="L142">
            <v>0.38</v>
          </cell>
          <cell r="M142" t="str">
            <v>http://www.lilietnene.com/fs/lilietnene/c/zef/</v>
          </cell>
          <cell r="N142" t="str">
            <v>キッズウエア</v>
          </cell>
          <cell r="O142" t="str">
            <v>BABY</v>
          </cell>
          <cell r="P142" t="str">
            <v>KIDS</v>
          </cell>
          <cell r="U142" t="str">
            <v>ウエア</v>
          </cell>
          <cell r="X142" t="str">
            <v/>
          </cell>
          <cell r="Z142" t="str">
            <v>フランスでは「Vogue」や「milk」などでも紹介されている人気子供服ブランド。</v>
          </cell>
          <cell r="AA142" t="str">
            <v>1005041</v>
          </cell>
          <cell r="AB142" t="str">
            <v/>
          </cell>
          <cell r="AC142" t="str">
            <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lilietnene.com/"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via.placeholder.com/540x250" TargetMode="External"/><Relationship Id="rId1" Type="http://schemas.openxmlformats.org/officeDocument/2006/relationships/hyperlink" Target="http://via.placeholder.com/540x250"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8.xml.rels><?xml version="1.0" encoding="UTF-8" standalone="yes"?>
<Relationships xmlns="http://schemas.openxmlformats.org/package/2006/relationships"><Relationship Id="rId1" Type="http://schemas.openxmlformats.org/officeDocument/2006/relationships/hyperlink" Target="http://c24.future-shop.jp/fs/lilietnene/GoodsSearchList.html?_e_k=%82%60&amp;keyword=gift-kids&amp;searchBtn.x=0&amp;searchBtn.y=0" TargetMode="External"/></Relationships>
</file>

<file path=xl/worksheets/_rels/sheet35.xml.rels><?xml version="1.0" encoding="UTF-8" standalone="yes"?>
<Relationships xmlns="http://schemas.openxmlformats.org/package/2006/relationships"><Relationship Id="rId1" Type="http://schemas.openxmlformats.org/officeDocument/2006/relationships/hyperlink" Target="http://www.lilietnene.com/fs/lilietnene/c/couprio-giftset"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CQU2"/>
  <sheetViews>
    <sheetView topLeftCell="BSP1" workbookViewId="0">
      <pane xSplit="22440"/>
      <selection activeCell="BSR5" sqref="BSR5"/>
      <selection pane="topRight" activeCell="BTJ1" sqref="BTJ1"/>
    </sheetView>
  </sheetViews>
  <sheetFormatPr defaultRowHeight="13.5"/>
  <sheetData>
    <row r="1" spans="1:2491">
      <c r="A1" t="s">
        <v>27</v>
      </c>
      <c r="B1" t="s">
        <v>28</v>
      </c>
      <c r="C1" t="s">
        <v>29</v>
      </c>
      <c r="D1" t="s">
        <v>30</v>
      </c>
      <c r="E1" t="s">
        <v>31</v>
      </c>
      <c r="F1" t="s">
        <v>32</v>
      </c>
      <c r="G1" t="s">
        <v>3767</v>
      </c>
      <c r="H1" t="s">
        <v>33</v>
      </c>
      <c r="I1" t="s">
        <v>160</v>
      </c>
      <c r="J1" t="s">
        <v>3768</v>
      </c>
      <c r="K1" t="s">
        <v>34</v>
      </c>
      <c r="L1" t="s">
        <v>35</v>
      </c>
      <c r="M1" t="s">
        <v>36</v>
      </c>
      <c r="N1" t="s">
        <v>37</v>
      </c>
      <c r="O1" t="s">
        <v>38</v>
      </c>
      <c r="P1" t="s">
        <v>39</v>
      </c>
      <c r="Q1" t="s">
        <v>3769</v>
      </c>
      <c r="R1" t="s">
        <v>40</v>
      </c>
      <c r="S1" t="s">
        <v>161</v>
      </c>
      <c r="T1" t="s">
        <v>3770</v>
      </c>
      <c r="U1" t="s">
        <v>41</v>
      </c>
      <c r="V1" t="s">
        <v>42</v>
      </c>
      <c r="W1" t="s">
        <v>43</v>
      </c>
      <c r="X1" t="s">
        <v>44</v>
      </c>
      <c r="Y1" t="s">
        <v>45</v>
      </c>
      <c r="Z1" t="s">
        <v>46</v>
      </c>
      <c r="AA1" t="s">
        <v>3771</v>
      </c>
      <c r="AB1" t="s">
        <v>47</v>
      </c>
      <c r="AC1" t="s">
        <v>162</v>
      </c>
      <c r="AD1" t="s">
        <v>3772</v>
      </c>
      <c r="AE1" t="s">
        <v>635</v>
      </c>
      <c r="AF1" t="s">
        <v>636</v>
      </c>
      <c r="AG1" t="s">
        <v>637</v>
      </c>
      <c r="AH1" t="s">
        <v>638</v>
      </c>
      <c r="AI1" t="s">
        <v>639</v>
      </c>
      <c r="AJ1" t="s">
        <v>640</v>
      </c>
      <c r="AK1" t="s">
        <v>694</v>
      </c>
      <c r="AL1" t="s">
        <v>695</v>
      </c>
      <c r="AM1" t="s">
        <v>696</v>
      </c>
      <c r="AN1" t="s">
        <v>697</v>
      </c>
      <c r="AO1" t="s">
        <v>698</v>
      </c>
      <c r="AP1" t="s">
        <v>699</v>
      </c>
      <c r="AQ1" t="s">
        <v>700</v>
      </c>
      <c r="AR1" t="s">
        <v>701</v>
      </c>
      <c r="AS1" t="s">
        <v>702</v>
      </c>
      <c r="AT1" t="s">
        <v>703</v>
      </c>
      <c r="AU1" t="s">
        <v>704</v>
      </c>
      <c r="AV1" t="s">
        <v>705</v>
      </c>
      <c r="AW1" t="s">
        <v>3</v>
      </c>
      <c r="AX1" t="s">
        <v>4</v>
      </c>
      <c r="AY1" t="s">
        <v>5</v>
      </c>
      <c r="AZ1" t="s">
        <v>6</v>
      </c>
      <c r="BA1" t="s">
        <v>7</v>
      </c>
      <c r="BB1" t="s">
        <v>8</v>
      </c>
      <c r="BC1" t="s">
        <v>3717</v>
      </c>
      <c r="BD1" t="s">
        <v>3718</v>
      </c>
      <c r="BE1" t="s">
        <v>3719</v>
      </c>
      <c r="BF1" t="s">
        <v>3720</v>
      </c>
      <c r="BG1" t="s">
        <v>3721</v>
      </c>
      <c r="BH1" t="s">
        <v>3722</v>
      </c>
      <c r="BI1" t="s">
        <v>3723</v>
      </c>
      <c r="BJ1" t="s">
        <v>3724</v>
      </c>
      <c r="BK1" t="s">
        <v>3725</v>
      </c>
      <c r="BL1" t="s">
        <v>3726</v>
      </c>
      <c r="BM1" t="s">
        <v>3727</v>
      </c>
      <c r="BN1" t="s">
        <v>3728</v>
      </c>
      <c r="BO1" t="s">
        <v>641</v>
      </c>
      <c r="BP1" t="s">
        <v>642</v>
      </c>
      <c r="BQ1" t="s">
        <v>643</v>
      </c>
      <c r="BR1" t="s">
        <v>644</v>
      </c>
      <c r="BS1" t="s">
        <v>645</v>
      </c>
      <c r="BT1" t="s">
        <v>706</v>
      </c>
      <c r="BU1" t="s">
        <v>707</v>
      </c>
      <c r="BV1" t="s">
        <v>708</v>
      </c>
      <c r="BW1" t="s">
        <v>709</v>
      </c>
      <c r="BX1" t="s">
        <v>710</v>
      </c>
      <c r="BY1" t="s">
        <v>646</v>
      </c>
      <c r="BZ1" t="s">
        <v>3729</v>
      </c>
      <c r="CA1" t="s">
        <v>3730</v>
      </c>
      <c r="CB1" t="s">
        <v>647</v>
      </c>
      <c r="CC1" t="s">
        <v>648</v>
      </c>
      <c r="CD1" t="s">
        <v>649</v>
      </c>
      <c r="CE1" t="s">
        <v>650</v>
      </c>
      <c r="CF1" t="s">
        <v>3732</v>
      </c>
      <c r="CG1" t="s">
        <v>711</v>
      </c>
      <c r="CH1" t="s">
        <v>3733</v>
      </c>
      <c r="CI1" t="s">
        <v>3734</v>
      </c>
      <c r="CJ1" t="s">
        <v>712</v>
      </c>
      <c r="CK1" t="s">
        <v>713</v>
      </c>
      <c r="CL1" t="s">
        <v>714</v>
      </c>
      <c r="CM1" t="s">
        <v>715</v>
      </c>
      <c r="CN1" t="s">
        <v>3736</v>
      </c>
      <c r="CO1" t="s">
        <v>716</v>
      </c>
      <c r="CP1" t="s">
        <v>3737</v>
      </c>
      <c r="CQ1" t="s">
        <v>3738</v>
      </c>
      <c r="CR1" t="s">
        <v>717</v>
      </c>
      <c r="CS1" t="s">
        <v>718</v>
      </c>
      <c r="CT1" t="s">
        <v>719</v>
      </c>
      <c r="CU1" t="s">
        <v>720</v>
      </c>
      <c r="CV1" t="s">
        <v>3741</v>
      </c>
      <c r="CW1" t="s">
        <v>721</v>
      </c>
      <c r="CX1" t="s">
        <v>3742</v>
      </c>
      <c r="CY1" t="s">
        <v>3743</v>
      </c>
      <c r="CZ1" t="s">
        <v>722</v>
      </c>
      <c r="DA1" t="s">
        <v>723</v>
      </c>
      <c r="DB1" t="s">
        <v>724</v>
      </c>
      <c r="DC1" t="s">
        <v>725</v>
      </c>
      <c r="DD1" t="s">
        <v>3745</v>
      </c>
      <c r="DE1" t="s">
        <v>726</v>
      </c>
      <c r="DF1" t="s">
        <v>3746</v>
      </c>
      <c r="DG1" t="s">
        <v>3747</v>
      </c>
      <c r="DH1" t="s">
        <v>727</v>
      </c>
      <c r="DI1" t="s">
        <v>728</v>
      </c>
      <c r="DJ1" t="s">
        <v>729</v>
      </c>
      <c r="DK1" t="s">
        <v>730</v>
      </c>
      <c r="DL1" t="s">
        <v>3750</v>
      </c>
      <c r="DM1" t="s">
        <v>731</v>
      </c>
      <c r="DN1" t="s">
        <v>3751</v>
      </c>
      <c r="DO1" t="s">
        <v>3752</v>
      </c>
      <c r="DP1" t="s">
        <v>732</v>
      </c>
      <c r="DQ1" t="s">
        <v>733</v>
      </c>
      <c r="DR1" t="s">
        <v>734</v>
      </c>
      <c r="DS1" t="s">
        <v>735</v>
      </c>
      <c r="DT1" t="s">
        <v>3755</v>
      </c>
      <c r="DU1" t="s">
        <v>651</v>
      </c>
      <c r="DV1" t="s">
        <v>652</v>
      </c>
      <c r="DW1" t="s">
        <v>653</v>
      </c>
      <c r="DX1" t="s">
        <v>654</v>
      </c>
      <c r="DY1" t="s">
        <v>655</v>
      </c>
      <c r="DZ1" t="s">
        <v>736</v>
      </c>
      <c r="EA1" t="s">
        <v>737</v>
      </c>
      <c r="EB1" t="s">
        <v>738</v>
      </c>
      <c r="EC1" t="s">
        <v>739</v>
      </c>
      <c r="ED1" t="s">
        <v>740</v>
      </c>
      <c r="EE1" t="s">
        <v>2293</v>
      </c>
      <c r="EF1" t="s">
        <v>2669</v>
      </c>
      <c r="EG1" t="s">
        <v>2292</v>
      </c>
      <c r="EH1" t="s">
        <v>2294</v>
      </c>
      <c r="EI1" t="s">
        <v>656</v>
      </c>
      <c r="EJ1" t="s">
        <v>657</v>
      </c>
      <c r="EK1" t="s">
        <v>658</v>
      </c>
      <c r="EL1" t="s">
        <v>3099</v>
      </c>
      <c r="EM1" t="s">
        <v>2673</v>
      </c>
      <c r="EN1" t="s">
        <v>2674</v>
      </c>
      <c r="EO1" t="s">
        <v>2675</v>
      </c>
      <c r="EP1" t="s">
        <v>2676</v>
      </c>
      <c r="EQ1" t="s">
        <v>667</v>
      </c>
      <c r="ER1" t="s">
        <v>668</v>
      </c>
      <c r="ES1" t="s">
        <v>669</v>
      </c>
      <c r="ET1" t="s">
        <v>3100</v>
      </c>
      <c r="EU1" t="s">
        <v>2677</v>
      </c>
      <c r="EV1" t="s">
        <v>2678</v>
      </c>
      <c r="EW1" t="s">
        <v>2679</v>
      </c>
      <c r="EX1" t="s">
        <v>2680</v>
      </c>
      <c r="EY1" t="s">
        <v>1925</v>
      </c>
      <c r="EZ1" t="s">
        <v>1926</v>
      </c>
      <c r="FA1" t="s">
        <v>1927</v>
      </c>
      <c r="FB1" t="s">
        <v>3101</v>
      </c>
      <c r="FC1" t="s">
        <v>661</v>
      </c>
      <c r="FD1" t="s">
        <v>662</v>
      </c>
      <c r="FE1" t="s">
        <v>663</v>
      </c>
      <c r="FF1" t="s">
        <v>664</v>
      </c>
      <c r="FG1" t="s">
        <v>665</v>
      </c>
      <c r="FH1" t="s">
        <v>666</v>
      </c>
      <c r="FI1" t="s">
        <v>2319</v>
      </c>
      <c r="FJ1" t="s">
        <v>2320</v>
      </c>
      <c r="FK1" t="s">
        <v>763</v>
      </c>
      <c r="FL1" t="s">
        <v>764</v>
      </c>
      <c r="FM1" t="s">
        <v>765</v>
      </c>
      <c r="FN1" t="s">
        <v>766</v>
      </c>
      <c r="FO1" t="s">
        <v>767</v>
      </c>
      <c r="FP1" t="s">
        <v>768</v>
      </c>
      <c r="FQ1" t="s">
        <v>2322</v>
      </c>
      <c r="FR1" t="s">
        <v>2323</v>
      </c>
      <c r="FS1" t="s">
        <v>769</v>
      </c>
      <c r="FT1" t="s">
        <v>770</v>
      </c>
      <c r="FU1" t="s">
        <v>771</v>
      </c>
      <c r="FV1" t="s">
        <v>772</v>
      </c>
      <c r="FW1" t="s">
        <v>773</v>
      </c>
      <c r="FX1" t="s">
        <v>774</v>
      </c>
      <c r="FY1" t="s">
        <v>2325</v>
      </c>
      <c r="FZ1" t="s">
        <v>2326</v>
      </c>
      <c r="GA1" t="s">
        <v>775</v>
      </c>
      <c r="GB1" t="s">
        <v>776</v>
      </c>
      <c r="GC1" t="s">
        <v>777</v>
      </c>
      <c r="GD1" t="s">
        <v>778</v>
      </c>
      <c r="GE1" t="s">
        <v>779</v>
      </c>
      <c r="GF1" t="s">
        <v>780</v>
      </c>
      <c r="GG1" t="s">
        <v>2328</v>
      </c>
      <c r="GH1" t="s">
        <v>2329</v>
      </c>
      <c r="GI1" t="s">
        <v>781</v>
      </c>
      <c r="GJ1" t="s">
        <v>782</v>
      </c>
      <c r="GK1" t="s">
        <v>783</v>
      </c>
      <c r="GL1" t="s">
        <v>784</v>
      </c>
      <c r="GM1" t="s">
        <v>785</v>
      </c>
      <c r="GN1" t="s">
        <v>786</v>
      </c>
      <c r="GO1" t="s">
        <v>2331</v>
      </c>
      <c r="GP1" t="s">
        <v>2332</v>
      </c>
      <c r="GQ1" t="s">
        <v>787</v>
      </c>
      <c r="GR1" t="s">
        <v>788</v>
      </c>
      <c r="GS1" t="s">
        <v>789</v>
      </c>
      <c r="GT1" t="s">
        <v>790</v>
      </c>
      <c r="GU1" t="s">
        <v>791</v>
      </c>
      <c r="GV1" t="s">
        <v>792</v>
      </c>
      <c r="GW1" t="s">
        <v>2334</v>
      </c>
      <c r="GX1" t="s">
        <v>2335</v>
      </c>
      <c r="GY1" t="s">
        <v>793</v>
      </c>
      <c r="GZ1" t="s">
        <v>794</v>
      </c>
      <c r="HA1" t="s">
        <v>795</v>
      </c>
      <c r="HB1" t="s">
        <v>796</v>
      </c>
      <c r="HC1" t="s">
        <v>797</v>
      </c>
      <c r="HD1" t="s">
        <v>798</v>
      </c>
      <c r="HE1" t="s">
        <v>2337</v>
      </c>
      <c r="HF1" t="s">
        <v>2338</v>
      </c>
      <c r="HG1" t="s">
        <v>799</v>
      </c>
      <c r="HH1" t="s">
        <v>800</v>
      </c>
      <c r="HI1" t="s">
        <v>801</v>
      </c>
      <c r="HJ1" t="s">
        <v>802</v>
      </c>
      <c r="HK1" t="s">
        <v>803</v>
      </c>
      <c r="HL1" t="s">
        <v>804</v>
      </c>
      <c r="HM1" t="s">
        <v>2340</v>
      </c>
      <c r="HN1" t="s">
        <v>2341</v>
      </c>
      <c r="HO1" t="s">
        <v>805</v>
      </c>
      <c r="HP1" t="s">
        <v>806</v>
      </c>
      <c r="HQ1" t="s">
        <v>807</v>
      </c>
      <c r="HR1" t="s">
        <v>808</v>
      </c>
      <c r="HS1" t="s">
        <v>809</v>
      </c>
      <c r="HT1" t="s">
        <v>810</v>
      </c>
      <c r="HU1" t="s">
        <v>2343</v>
      </c>
      <c r="HV1" t="s">
        <v>2344</v>
      </c>
      <c r="HW1" t="s">
        <v>811</v>
      </c>
      <c r="HX1" t="s">
        <v>812</v>
      </c>
      <c r="HY1" t="s">
        <v>813</v>
      </c>
      <c r="HZ1" t="s">
        <v>814</v>
      </c>
      <c r="IA1" t="s">
        <v>815</v>
      </c>
      <c r="IB1" t="s">
        <v>816</v>
      </c>
      <c r="IC1" t="s">
        <v>2346</v>
      </c>
      <c r="ID1" t="s">
        <v>2347</v>
      </c>
      <c r="IE1" t="s">
        <v>817</v>
      </c>
      <c r="IF1" t="s">
        <v>818</v>
      </c>
      <c r="IG1" t="s">
        <v>819</v>
      </c>
      <c r="IH1" t="s">
        <v>820</v>
      </c>
      <c r="II1" t="s">
        <v>821</v>
      </c>
      <c r="IJ1" t="s">
        <v>822</v>
      </c>
      <c r="IK1" t="s">
        <v>2349</v>
      </c>
      <c r="IL1" t="s">
        <v>2350</v>
      </c>
      <c r="IM1" t="s">
        <v>823</v>
      </c>
      <c r="IN1" t="s">
        <v>824</v>
      </c>
      <c r="IO1" t="s">
        <v>825</v>
      </c>
      <c r="IP1" t="s">
        <v>826</v>
      </c>
      <c r="IQ1" t="s">
        <v>827</v>
      </c>
      <c r="IR1" t="s">
        <v>828</v>
      </c>
      <c r="IS1" t="s">
        <v>2352</v>
      </c>
      <c r="IT1" t="s">
        <v>2353</v>
      </c>
      <c r="IU1" t="s">
        <v>829</v>
      </c>
      <c r="IV1" t="s">
        <v>830</v>
      </c>
      <c r="IW1" t="s">
        <v>831</v>
      </c>
      <c r="IX1" t="s">
        <v>832</v>
      </c>
      <c r="IY1" t="s">
        <v>833</v>
      </c>
      <c r="IZ1" t="s">
        <v>834</v>
      </c>
      <c r="JA1" t="s">
        <v>2354</v>
      </c>
      <c r="JB1" t="s">
        <v>2355</v>
      </c>
      <c r="JC1" t="s">
        <v>835</v>
      </c>
      <c r="JD1" t="s">
        <v>836</v>
      </c>
      <c r="JE1" t="s">
        <v>837</v>
      </c>
      <c r="JF1" t="s">
        <v>838</v>
      </c>
      <c r="JG1" t="s">
        <v>839</v>
      </c>
      <c r="JH1" t="s">
        <v>840</v>
      </c>
      <c r="JI1" t="s">
        <v>2357</v>
      </c>
      <c r="JJ1" t="s">
        <v>2358</v>
      </c>
      <c r="JK1" t="s">
        <v>672</v>
      </c>
      <c r="JL1" t="s">
        <v>673</v>
      </c>
      <c r="JM1" t="s">
        <v>674</v>
      </c>
      <c r="JN1" t="s">
        <v>675</v>
      </c>
      <c r="JO1" t="s">
        <v>676</v>
      </c>
      <c r="JP1" t="s">
        <v>677</v>
      </c>
      <c r="JQ1" t="s">
        <v>2385</v>
      </c>
      <c r="JR1" t="s">
        <v>2386</v>
      </c>
      <c r="JS1" t="s">
        <v>863</v>
      </c>
      <c r="JT1" t="s">
        <v>864</v>
      </c>
      <c r="JU1" t="s">
        <v>865</v>
      </c>
      <c r="JV1" t="s">
        <v>866</v>
      </c>
      <c r="JW1" t="s">
        <v>867</v>
      </c>
      <c r="JX1" t="s">
        <v>868</v>
      </c>
      <c r="JY1" t="s">
        <v>2388</v>
      </c>
      <c r="JZ1" t="s">
        <v>2389</v>
      </c>
      <c r="KA1" t="s">
        <v>869</v>
      </c>
      <c r="KB1" t="s">
        <v>870</v>
      </c>
      <c r="KC1" t="s">
        <v>871</v>
      </c>
      <c r="KD1" t="s">
        <v>872</v>
      </c>
      <c r="KE1" t="s">
        <v>873</v>
      </c>
      <c r="KF1" t="s">
        <v>874</v>
      </c>
      <c r="KG1" t="s">
        <v>2390</v>
      </c>
      <c r="KH1" t="s">
        <v>2391</v>
      </c>
      <c r="KI1" t="s">
        <v>875</v>
      </c>
      <c r="KJ1" t="s">
        <v>876</v>
      </c>
      <c r="KK1" t="s">
        <v>877</v>
      </c>
      <c r="KL1" t="s">
        <v>878</v>
      </c>
      <c r="KM1" t="s">
        <v>879</v>
      </c>
      <c r="KN1" t="s">
        <v>880</v>
      </c>
      <c r="KO1" t="s">
        <v>2393</v>
      </c>
      <c r="KP1" t="s">
        <v>2394</v>
      </c>
      <c r="KQ1" t="s">
        <v>881</v>
      </c>
      <c r="KR1" t="s">
        <v>882</v>
      </c>
      <c r="KS1" t="s">
        <v>883</v>
      </c>
      <c r="KT1" t="s">
        <v>884</v>
      </c>
      <c r="KU1" t="s">
        <v>885</v>
      </c>
      <c r="KV1" t="s">
        <v>886</v>
      </c>
      <c r="KW1" t="s">
        <v>2396</v>
      </c>
      <c r="KX1" t="s">
        <v>2397</v>
      </c>
      <c r="KY1" t="s">
        <v>887</v>
      </c>
      <c r="KZ1" t="s">
        <v>888</v>
      </c>
      <c r="LA1" t="s">
        <v>889</v>
      </c>
      <c r="LB1" t="s">
        <v>890</v>
      </c>
      <c r="LC1" t="s">
        <v>891</v>
      </c>
      <c r="LD1" t="s">
        <v>892</v>
      </c>
      <c r="LE1" t="s">
        <v>2399</v>
      </c>
      <c r="LF1" t="s">
        <v>2400</v>
      </c>
      <c r="LG1" t="s">
        <v>893</v>
      </c>
      <c r="LH1" t="s">
        <v>894</v>
      </c>
      <c r="LI1" t="s">
        <v>895</v>
      </c>
      <c r="LJ1" t="s">
        <v>896</v>
      </c>
      <c r="LK1" t="s">
        <v>897</v>
      </c>
      <c r="LL1" t="s">
        <v>898</v>
      </c>
      <c r="LM1" t="s">
        <v>2401</v>
      </c>
      <c r="LN1" t="s">
        <v>2402</v>
      </c>
      <c r="LO1" t="s">
        <v>899</v>
      </c>
      <c r="LP1" t="s">
        <v>900</v>
      </c>
      <c r="LQ1" t="s">
        <v>901</v>
      </c>
      <c r="LR1" t="s">
        <v>902</v>
      </c>
      <c r="LS1" t="s">
        <v>903</v>
      </c>
      <c r="LT1" t="s">
        <v>904</v>
      </c>
      <c r="LU1" t="s">
        <v>2403</v>
      </c>
      <c r="LV1" t="s">
        <v>2404</v>
      </c>
      <c r="LW1" t="s">
        <v>905</v>
      </c>
      <c r="LX1" t="s">
        <v>906</v>
      </c>
      <c r="LY1" t="s">
        <v>907</v>
      </c>
      <c r="LZ1" t="s">
        <v>908</v>
      </c>
      <c r="MA1" t="s">
        <v>909</v>
      </c>
      <c r="MB1" t="s">
        <v>910</v>
      </c>
      <c r="MC1" t="s">
        <v>2405</v>
      </c>
      <c r="MD1" t="s">
        <v>2406</v>
      </c>
      <c r="ME1" t="s">
        <v>911</v>
      </c>
      <c r="MF1" t="s">
        <v>912</v>
      </c>
      <c r="MG1" t="s">
        <v>913</v>
      </c>
      <c r="MH1" t="s">
        <v>914</v>
      </c>
      <c r="MI1" t="s">
        <v>915</v>
      </c>
      <c r="MJ1" t="s">
        <v>916</v>
      </c>
      <c r="MK1" t="s">
        <v>2407</v>
      </c>
      <c r="ML1" t="s">
        <v>2408</v>
      </c>
      <c r="MM1" t="s">
        <v>917</v>
      </c>
      <c r="MN1" t="s">
        <v>918</v>
      </c>
      <c r="MO1" t="s">
        <v>919</v>
      </c>
      <c r="MP1" t="s">
        <v>920</v>
      </c>
      <c r="MQ1" t="s">
        <v>921</v>
      </c>
      <c r="MR1" t="s">
        <v>922</v>
      </c>
      <c r="MS1" t="s">
        <v>2409</v>
      </c>
      <c r="MT1" t="s">
        <v>2410</v>
      </c>
      <c r="MU1" t="s">
        <v>923</v>
      </c>
      <c r="MV1" t="s">
        <v>924</v>
      </c>
      <c r="MW1" t="s">
        <v>925</v>
      </c>
      <c r="MX1" t="s">
        <v>926</v>
      </c>
      <c r="MY1" t="s">
        <v>927</v>
      </c>
      <c r="MZ1" t="s">
        <v>928</v>
      </c>
      <c r="NA1" t="s">
        <v>2411</v>
      </c>
      <c r="NB1" t="s">
        <v>2412</v>
      </c>
      <c r="NC1" t="s">
        <v>929</v>
      </c>
      <c r="ND1" t="s">
        <v>930</v>
      </c>
      <c r="NE1" t="s">
        <v>931</v>
      </c>
      <c r="NF1" t="s">
        <v>932</v>
      </c>
      <c r="NG1" t="s">
        <v>933</v>
      </c>
      <c r="NH1" t="s">
        <v>934</v>
      </c>
      <c r="NI1" t="s">
        <v>2413</v>
      </c>
      <c r="NJ1" t="s">
        <v>2414</v>
      </c>
      <c r="NK1" t="s">
        <v>935</v>
      </c>
      <c r="NL1" t="s">
        <v>936</v>
      </c>
      <c r="NM1" t="s">
        <v>937</v>
      </c>
      <c r="NN1" t="s">
        <v>938</v>
      </c>
      <c r="NO1" t="s">
        <v>939</v>
      </c>
      <c r="NP1" t="s">
        <v>940</v>
      </c>
      <c r="NQ1" t="s">
        <v>2415</v>
      </c>
      <c r="NR1" t="s">
        <v>2416</v>
      </c>
      <c r="NS1" t="s">
        <v>941</v>
      </c>
      <c r="NT1" t="s">
        <v>942</v>
      </c>
      <c r="NU1" t="s">
        <v>943</v>
      </c>
      <c r="NV1" t="s">
        <v>944</v>
      </c>
      <c r="NW1" t="s">
        <v>945</v>
      </c>
      <c r="NX1" t="s">
        <v>946</v>
      </c>
      <c r="NY1" t="s">
        <v>2418</v>
      </c>
      <c r="NZ1" t="s">
        <v>2419</v>
      </c>
      <c r="OA1" t="s">
        <v>947</v>
      </c>
      <c r="OB1" t="s">
        <v>948</v>
      </c>
      <c r="OC1" t="s">
        <v>949</v>
      </c>
      <c r="OD1" t="s">
        <v>950</v>
      </c>
      <c r="OE1" t="s">
        <v>951</v>
      </c>
      <c r="OF1" t="s">
        <v>952</v>
      </c>
      <c r="OG1" t="s">
        <v>2421</v>
      </c>
      <c r="OH1" t="s">
        <v>2422</v>
      </c>
      <c r="OI1" t="s">
        <v>953</v>
      </c>
      <c r="OJ1" t="s">
        <v>954</v>
      </c>
      <c r="OK1" t="s">
        <v>955</v>
      </c>
      <c r="OL1" t="s">
        <v>956</v>
      </c>
      <c r="OM1" t="s">
        <v>957</v>
      </c>
      <c r="ON1" t="s">
        <v>958</v>
      </c>
      <c r="OO1" t="s">
        <v>2424</v>
      </c>
      <c r="OP1" t="s">
        <v>2425</v>
      </c>
      <c r="OQ1" t="s">
        <v>959</v>
      </c>
      <c r="OR1" t="s">
        <v>960</v>
      </c>
      <c r="OS1" t="s">
        <v>961</v>
      </c>
      <c r="OT1" t="s">
        <v>962</v>
      </c>
      <c r="OU1" t="s">
        <v>963</v>
      </c>
      <c r="OV1" t="s">
        <v>964</v>
      </c>
      <c r="OW1" t="s">
        <v>2426</v>
      </c>
      <c r="OX1" t="s">
        <v>2427</v>
      </c>
      <c r="OY1" t="s">
        <v>965</v>
      </c>
      <c r="OZ1" t="s">
        <v>966</v>
      </c>
      <c r="PA1" t="s">
        <v>967</v>
      </c>
      <c r="PB1" t="s">
        <v>968</v>
      </c>
      <c r="PC1" t="s">
        <v>969</v>
      </c>
      <c r="PD1" t="s">
        <v>970</v>
      </c>
      <c r="PE1" t="s">
        <v>2428</v>
      </c>
      <c r="PF1" t="s">
        <v>2429</v>
      </c>
      <c r="PG1" t="s">
        <v>971</v>
      </c>
      <c r="PH1" t="s">
        <v>972</v>
      </c>
      <c r="PI1" t="s">
        <v>973</v>
      </c>
      <c r="PJ1" t="s">
        <v>974</v>
      </c>
      <c r="PK1" t="s">
        <v>975</v>
      </c>
      <c r="PL1" t="s">
        <v>976</v>
      </c>
      <c r="PM1" t="s">
        <v>2431</v>
      </c>
      <c r="PN1" t="s">
        <v>2432</v>
      </c>
      <c r="PO1" t="s">
        <v>977</v>
      </c>
      <c r="PP1" t="s">
        <v>978</v>
      </c>
      <c r="PQ1" t="s">
        <v>979</v>
      </c>
      <c r="PR1" t="s">
        <v>980</v>
      </c>
      <c r="PS1" t="s">
        <v>981</v>
      </c>
      <c r="PT1" t="s">
        <v>982</v>
      </c>
      <c r="PU1" t="s">
        <v>2433</v>
      </c>
      <c r="PV1" t="s">
        <v>2434</v>
      </c>
      <c r="PW1" t="s">
        <v>983</v>
      </c>
      <c r="PX1" t="s">
        <v>984</v>
      </c>
      <c r="PY1" t="s">
        <v>985</v>
      </c>
      <c r="PZ1" t="s">
        <v>986</v>
      </c>
      <c r="QA1" t="s">
        <v>987</v>
      </c>
      <c r="QB1" t="s">
        <v>988</v>
      </c>
      <c r="QC1" t="s">
        <v>2436</v>
      </c>
      <c r="QD1" t="s">
        <v>2437</v>
      </c>
      <c r="QE1" t="s">
        <v>989</v>
      </c>
      <c r="QF1" t="s">
        <v>990</v>
      </c>
      <c r="QG1" t="s">
        <v>991</v>
      </c>
      <c r="QH1" t="s">
        <v>992</v>
      </c>
      <c r="QI1" t="s">
        <v>993</v>
      </c>
      <c r="QJ1" t="s">
        <v>994</v>
      </c>
      <c r="QK1" t="s">
        <v>2438</v>
      </c>
      <c r="QL1" t="s">
        <v>2439</v>
      </c>
      <c r="QM1" t="s">
        <v>995</v>
      </c>
      <c r="QN1" t="s">
        <v>996</v>
      </c>
      <c r="QO1" t="s">
        <v>997</v>
      </c>
      <c r="QP1" t="s">
        <v>998</v>
      </c>
      <c r="QQ1" t="s">
        <v>999</v>
      </c>
      <c r="QR1" t="s">
        <v>1000</v>
      </c>
      <c r="QS1" t="s">
        <v>2440</v>
      </c>
      <c r="QT1" t="s">
        <v>2441</v>
      </c>
      <c r="QU1" t="s">
        <v>1001</v>
      </c>
      <c r="QV1" t="s">
        <v>1002</v>
      </c>
      <c r="QW1" t="s">
        <v>1003</v>
      </c>
      <c r="QX1" t="s">
        <v>1004</v>
      </c>
      <c r="QY1" t="s">
        <v>1005</v>
      </c>
      <c r="QZ1" t="s">
        <v>1006</v>
      </c>
      <c r="RA1" t="s">
        <v>2443</v>
      </c>
      <c r="RB1" t="s">
        <v>2444</v>
      </c>
      <c r="RC1" t="s">
        <v>1007</v>
      </c>
      <c r="RD1" t="s">
        <v>1008</v>
      </c>
      <c r="RE1" t="s">
        <v>1009</v>
      </c>
      <c r="RF1" t="s">
        <v>1010</v>
      </c>
      <c r="RG1" t="s">
        <v>1011</v>
      </c>
      <c r="RH1" t="s">
        <v>1012</v>
      </c>
      <c r="RI1" t="s">
        <v>2446</v>
      </c>
      <c r="RJ1" t="s">
        <v>2447</v>
      </c>
      <c r="RK1" t="s">
        <v>681</v>
      </c>
      <c r="RL1" t="s">
        <v>682</v>
      </c>
      <c r="RM1" t="s">
        <v>684</v>
      </c>
      <c r="RN1" t="s">
        <v>683</v>
      </c>
      <c r="RO1" t="s">
        <v>685</v>
      </c>
      <c r="RP1" t="s">
        <v>686</v>
      </c>
      <c r="RQ1" t="s">
        <v>2681</v>
      </c>
      <c r="RR1" t="s">
        <v>2682</v>
      </c>
      <c r="RS1" t="s">
        <v>1028</v>
      </c>
      <c r="RT1" t="s">
        <v>1029</v>
      </c>
      <c r="RU1" t="s">
        <v>1031</v>
      </c>
      <c r="RV1" t="s">
        <v>1030</v>
      </c>
      <c r="RW1" t="s">
        <v>1032</v>
      </c>
      <c r="RX1" t="s">
        <v>1033</v>
      </c>
      <c r="RY1" t="s">
        <v>2683</v>
      </c>
      <c r="RZ1" t="s">
        <v>2684</v>
      </c>
      <c r="SA1" t="s">
        <v>1034</v>
      </c>
      <c r="SB1" t="s">
        <v>1035</v>
      </c>
      <c r="SC1" t="s">
        <v>1037</v>
      </c>
      <c r="SD1" t="s">
        <v>1036</v>
      </c>
      <c r="SE1" t="s">
        <v>1038</v>
      </c>
      <c r="SF1" t="s">
        <v>1039</v>
      </c>
      <c r="SG1" t="s">
        <v>2685</v>
      </c>
      <c r="SH1" t="s">
        <v>2686</v>
      </c>
      <c r="SI1" t="s">
        <v>1040</v>
      </c>
      <c r="SJ1" t="s">
        <v>1041</v>
      </c>
      <c r="SK1" t="s">
        <v>1043</v>
      </c>
      <c r="SL1" t="s">
        <v>1042</v>
      </c>
      <c r="SM1" t="s">
        <v>1044</v>
      </c>
      <c r="SN1" t="s">
        <v>1045</v>
      </c>
      <c r="SO1" t="s">
        <v>2687</v>
      </c>
      <c r="SP1" t="s">
        <v>2688</v>
      </c>
      <c r="SQ1" t="s">
        <v>1046</v>
      </c>
      <c r="SR1" t="s">
        <v>1047</v>
      </c>
      <c r="SS1" t="s">
        <v>1049</v>
      </c>
      <c r="ST1" t="s">
        <v>1048</v>
      </c>
      <c r="SU1" t="s">
        <v>1050</v>
      </c>
      <c r="SV1" t="s">
        <v>1051</v>
      </c>
      <c r="SW1" t="s">
        <v>2689</v>
      </c>
      <c r="SX1" t="s">
        <v>2690</v>
      </c>
      <c r="SY1" t="s">
        <v>1052</v>
      </c>
      <c r="SZ1" t="s">
        <v>1053</v>
      </c>
      <c r="TA1" t="s">
        <v>1055</v>
      </c>
      <c r="TB1" t="s">
        <v>1054</v>
      </c>
      <c r="TC1" t="s">
        <v>1056</v>
      </c>
      <c r="TD1" t="s">
        <v>1057</v>
      </c>
      <c r="TE1" t="s">
        <v>2691</v>
      </c>
      <c r="TF1" t="s">
        <v>2692</v>
      </c>
      <c r="TG1" t="s">
        <v>1058</v>
      </c>
      <c r="TH1" t="s">
        <v>1059</v>
      </c>
      <c r="TI1" t="s">
        <v>1061</v>
      </c>
      <c r="TJ1" t="s">
        <v>1060</v>
      </c>
      <c r="TK1" t="s">
        <v>1062</v>
      </c>
      <c r="TL1" t="s">
        <v>1063</v>
      </c>
      <c r="TM1" t="s">
        <v>2693</v>
      </c>
      <c r="TN1" t="s">
        <v>2694</v>
      </c>
      <c r="TO1" t="s">
        <v>1064</v>
      </c>
      <c r="TP1" t="s">
        <v>1065</v>
      </c>
      <c r="TQ1" t="s">
        <v>1067</v>
      </c>
      <c r="TR1" t="s">
        <v>1066</v>
      </c>
      <c r="TS1" t="s">
        <v>1068</v>
      </c>
      <c r="TT1" t="s">
        <v>1069</v>
      </c>
      <c r="TU1" t="s">
        <v>2695</v>
      </c>
      <c r="TV1" t="s">
        <v>2696</v>
      </c>
      <c r="TW1" t="s">
        <v>1070</v>
      </c>
      <c r="TX1" t="s">
        <v>1071</v>
      </c>
      <c r="TY1" t="s">
        <v>1073</v>
      </c>
      <c r="TZ1" t="s">
        <v>1072</v>
      </c>
      <c r="UA1" t="s">
        <v>1074</v>
      </c>
      <c r="UB1" t="s">
        <v>1075</v>
      </c>
      <c r="UC1" t="s">
        <v>2697</v>
      </c>
      <c r="UD1" t="s">
        <v>2698</v>
      </c>
      <c r="UE1" t="s">
        <v>1076</v>
      </c>
      <c r="UF1" t="s">
        <v>1077</v>
      </c>
      <c r="UG1" t="s">
        <v>1079</v>
      </c>
      <c r="UH1" t="s">
        <v>1078</v>
      </c>
      <c r="UI1" t="s">
        <v>1080</v>
      </c>
      <c r="UJ1" t="s">
        <v>1081</v>
      </c>
      <c r="UK1" t="s">
        <v>2699</v>
      </c>
      <c r="UL1" t="s">
        <v>2700</v>
      </c>
      <c r="UM1" t="s">
        <v>1082</v>
      </c>
      <c r="UN1" t="s">
        <v>1083</v>
      </c>
      <c r="UO1" t="s">
        <v>1085</v>
      </c>
      <c r="UP1" t="s">
        <v>1084</v>
      </c>
      <c r="UQ1" t="s">
        <v>1086</v>
      </c>
      <c r="UR1" t="s">
        <v>1087</v>
      </c>
      <c r="US1" t="s">
        <v>2701</v>
      </c>
      <c r="UT1" t="s">
        <v>2702</v>
      </c>
      <c r="UU1" t="s">
        <v>1088</v>
      </c>
      <c r="UV1" t="s">
        <v>1089</v>
      </c>
      <c r="UW1" t="s">
        <v>1091</v>
      </c>
      <c r="UX1" t="s">
        <v>1090</v>
      </c>
      <c r="UY1" t="s">
        <v>1092</v>
      </c>
      <c r="UZ1" t="s">
        <v>1093</v>
      </c>
      <c r="VA1" t="s">
        <v>2703</v>
      </c>
      <c r="VB1" t="s">
        <v>2704</v>
      </c>
      <c r="VC1" t="s">
        <v>1094</v>
      </c>
      <c r="VD1" t="s">
        <v>1095</v>
      </c>
      <c r="VE1" t="s">
        <v>1097</v>
      </c>
      <c r="VF1" t="s">
        <v>1096</v>
      </c>
      <c r="VG1" t="s">
        <v>1098</v>
      </c>
      <c r="VH1" t="s">
        <v>1099</v>
      </c>
      <c r="VI1" t="s">
        <v>2705</v>
      </c>
      <c r="VJ1" t="s">
        <v>2706</v>
      </c>
      <c r="VK1" t="s">
        <v>1100</v>
      </c>
      <c r="VL1" t="s">
        <v>1101</v>
      </c>
      <c r="VM1" t="s">
        <v>1103</v>
      </c>
      <c r="VN1" t="s">
        <v>1102</v>
      </c>
      <c r="VO1" t="s">
        <v>1104</v>
      </c>
      <c r="VP1" t="s">
        <v>1105</v>
      </c>
      <c r="VQ1" t="s">
        <v>2707</v>
      </c>
      <c r="VR1" t="s">
        <v>2708</v>
      </c>
      <c r="VS1" t="s">
        <v>1106</v>
      </c>
      <c r="VT1" t="s">
        <v>1107</v>
      </c>
      <c r="VU1" t="s">
        <v>1109</v>
      </c>
      <c r="VV1" t="s">
        <v>1108</v>
      </c>
      <c r="VW1" t="s">
        <v>1110</v>
      </c>
      <c r="VX1" t="s">
        <v>1111</v>
      </c>
      <c r="VY1" t="s">
        <v>2709</v>
      </c>
      <c r="VZ1" t="s">
        <v>2710</v>
      </c>
      <c r="WA1" t="s">
        <v>1112</v>
      </c>
      <c r="WB1" t="s">
        <v>1113</v>
      </c>
      <c r="WC1" t="s">
        <v>1115</v>
      </c>
      <c r="WD1" t="s">
        <v>1114</v>
      </c>
      <c r="WE1" t="s">
        <v>1116</v>
      </c>
      <c r="WF1" t="s">
        <v>1117</v>
      </c>
      <c r="WG1" t="s">
        <v>2711</v>
      </c>
      <c r="WH1" t="s">
        <v>2712</v>
      </c>
      <c r="WI1" t="s">
        <v>1118</v>
      </c>
      <c r="WJ1" t="s">
        <v>1119</v>
      </c>
      <c r="WK1" t="s">
        <v>1121</v>
      </c>
      <c r="WL1" t="s">
        <v>1120</v>
      </c>
      <c r="WM1" t="s">
        <v>1122</v>
      </c>
      <c r="WN1" t="s">
        <v>1123</v>
      </c>
      <c r="WO1" t="s">
        <v>2713</v>
      </c>
      <c r="WP1" t="s">
        <v>2714</v>
      </c>
      <c r="WQ1" t="s">
        <v>1124</v>
      </c>
      <c r="WR1" t="s">
        <v>1125</v>
      </c>
      <c r="WS1" t="s">
        <v>1127</v>
      </c>
      <c r="WT1" t="s">
        <v>1126</v>
      </c>
      <c r="WU1" t="s">
        <v>1128</v>
      </c>
      <c r="WV1" t="s">
        <v>1129</v>
      </c>
      <c r="WW1" t="s">
        <v>2715</v>
      </c>
      <c r="WX1" t="s">
        <v>2716</v>
      </c>
      <c r="WY1" t="s">
        <v>1130</v>
      </c>
      <c r="WZ1" t="s">
        <v>1131</v>
      </c>
      <c r="XA1" t="s">
        <v>1133</v>
      </c>
      <c r="XB1" t="s">
        <v>1132</v>
      </c>
      <c r="XC1" t="s">
        <v>1134</v>
      </c>
      <c r="XD1" t="s">
        <v>1135</v>
      </c>
      <c r="XE1" t="s">
        <v>2717</v>
      </c>
      <c r="XF1" t="s">
        <v>2718</v>
      </c>
      <c r="XG1" t="s">
        <v>1136</v>
      </c>
      <c r="XH1" t="s">
        <v>1137</v>
      </c>
      <c r="XI1" t="s">
        <v>1139</v>
      </c>
      <c r="XJ1" t="s">
        <v>1138</v>
      </c>
      <c r="XK1" t="s">
        <v>1140</v>
      </c>
      <c r="XL1" t="s">
        <v>1141</v>
      </c>
      <c r="XM1" t="s">
        <v>2719</v>
      </c>
      <c r="XN1" t="s">
        <v>2720</v>
      </c>
      <c r="XO1" t="s">
        <v>1142</v>
      </c>
      <c r="XP1" t="s">
        <v>1143</v>
      </c>
      <c r="XQ1" t="s">
        <v>1145</v>
      </c>
      <c r="XR1" t="s">
        <v>1144</v>
      </c>
      <c r="XS1" t="s">
        <v>1146</v>
      </c>
      <c r="XT1" t="s">
        <v>1147</v>
      </c>
      <c r="XU1" t="s">
        <v>2721</v>
      </c>
      <c r="XV1" t="s">
        <v>2722</v>
      </c>
      <c r="XW1" t="s">
        <v>1148</v>
      </c>
      <c r="XX1" t="s">
        <v>1149</v>
      </c>
      <c r="XY1" t="s">
        <v>1151</v>
      </c>
      <c r="XZ1" t="s">
        <v>1150</v>
      </c>
      <c r="YA1" t="s">
        <v>1152</v>
      </c>
      <c r="YB1" t="s">
        <v>1153</v>
      </c>
      <c r="YC1" t="s">
        <v>2723</v>
      </c>
      <c r="YD1" t="s">
        <v>2724</v>
      </c>
      <c r="YE1" t="s">
        <v>1154</v>
      </c>
      <c r="YF1" t="s">
        <v>1155</v>
      </c>
      <c r="YG1" t="s">
        <v>1157</v>
      </c>
      <c r="YH1" t="s">
        <v>1156</v>
      </c>
      <c r="YI1" t="s">
        <v>1158</v>
      </c>
      <c r="YJ1" t="s">
        <v>1159</v>
      </c>
      <c r="YK1" t="s">
        <v>2725</v>
      </c>
      <c r="YL1" t="s">
        <v>2726</v>
      </c>
      <c r="YM1" t="s">
        <v>1160</v>
      </c>
      <c r="YN1" t="s">
        <v>1161</v>
      </c>
      <c r="YO1" t="s">
        <v>1163</v>
      </c>
      <c r="YP1" t="s">
        <v>1162</v>
      </c>
      <c r="YQ1" t="s">
        <v>1164</v>
      </c>
      <c r="YR1" t="s">
        <v>1165</v>
      </c>
      <c r="YS1" t="s">
        <v>2727</v>
      </c>
      <c r="YT1" t="s">
        <v>2728</v>
      </c>
      <c r="YU1" t="s">
        <v>1166</v>
      </c>
      <c r="YV1" t="s">
        <v>1167</v>
      </c>
      <c r="YW1" t="s">
        <v>1169</v>
      </c>
      <c r="YX1" t="s">
        <v>1168</v>
      </c>
      <c r="YY1" t="s">
        <v>1170</v>
      </c>
      <c r="YZ1" t="s">
        <v>1171</v>
      </c>
      <c r="ZA1" t="s">
        <v>2729</v>
      </c>
      <c r="ZB1" t="s">
        <v>2730</v>
      </c>
      <c r="ZC1" t="s">
        <v>1172</v>
      </c>
      <c r="ZD1" t="s">
        <v>1173</v>
      </c>
      <c r="ZE1" t="s">
        <v>1175</v>
      </c>
      <c r="ZF1" t="s">
        <v>1174</v>
      </c>
      <c r="ZG1" t="s">
        <v>1176</v>
      </c>
      <c r="ZH1" t="s">
        <v>1177</v>
      </c>
      <c r="ZI1" t="s">
        <v>2731</v>
      </c>
      <c r="ZJ1" t="s">
        <v>2732</v>
      </c>
      <c r="ZK1" t="s">
        <v>1178</v>
      </c>
      <c r="ZL1" t="s">
        <v>1179</v>
      </c>
      <c r="ZM1" t="s">
        <v>1181</v>
      </c>
      <c r="ZN1" t="s">
        <v>1180</v>
      </c>
      <c r="ZO1" t="s">
        <v>1182</v>
      </c>
      <c r="ZP1" t="s">
        <v>1183</v>
      </c>
      <c r="ZQ1" t="s">
        <v>2733</v>
      </c>
      <c r="ZR1" t="s">
        <v>2734</v>
      </c>
      <c r="ZS1" t="s">
        <v>1184</v>
      </c>
      <c r="ZT1" t="s">
        <v>1185</v>
      </c>
      <c r="ZU1" t="s">
        <v>1187</v>
      </c>
      <c r="ZV1" t="s">
        <v>1186</v>
      </c>
      <c r="ZW1" t="s">
        <v>1188</v>
      </c>
      <c r="ZX1" t="s">
        <v>1189</v>
      </c>
      <c r="ZY1" t="s">
        <v>2735</v>
      </c>
      <c r="ZZ1" t="s">
        <v>2736</v>
      </c>
      <c r="AAA1" t="s">
        <v>1190</v>
      </c>
      <c r="AAB1" t="s">
        <v>1191</v>
      </c>
      <c r="AAC1" t="s">
        <v>1193</v>
      </c>
      <c r="AAD1" t="s">
        <v>1192</v>
      </c>
      <c r="AAE1" t="s">
        <v>1194</v>
      </c>
      <c r="AAF1" t="s">
        <v>1195</v>
      </c>
      <c r="AAG1" t="s">
        <v>2737</v>
      </c>
      <c r="AAH1" t="s">
        <v>2738</v>
      </c>
      <c r="AAI1" t="s">
        <v>1196</v>
      </c>
      <c r="AAJ1" t="s">
        <v>1197</v>
      </c>
      <c r="AAK1" t="s">
        <v>1199</v>
      </c>
      <c r="AAL1" t="s">
        <v>1198</v>
      </c>
      <c r="AAM1" t="s">
        <v>1200</v>
      </c>
      <c r="AAN1" t="s">
        <v>1201</v>
      </c>
      <c r="AAO1" t="s">
        <v>2739</v>
      </c>
      <c r="AAP1" t="s">
        <v>2740</v>
      </c>
      <c r="AAQ1" t="s">
        <v>1202</v>
      </c>
      <c r="AAR1" t="s">
        <v>1203</v>
      </c>
      <c r="AAS1" t="s">
        <v>1205</v>
      </c>
      <c r="AAT1" t="s">
        <v>1204</v>
      </c>
      <c r="AAU1" t="s">
        <v>1206</v>
      </c>
      <c r="AAV1" t="s">
        <v>1207</v>
      </c>
      <c r="AAW1" t="s">
        <v>2741</v>
      </c>
      <c r="AAX1" t="s">
        <v>2742</v>
      </c>
      <c r="AAY1" t="s">
        <v>1208</v>
      </c>
      <c r="AAZ1" t="s">
        <v>1209</v>
      </c>
      <c r="ABA1" t="s">
        <v>1211</v>
      </c>
      <c r="ABB1" t="s">
        <v>1210</v>
      </c>
      <c r="ABC1" t="s">
        <v>1212</v>
      </c>
      <c r="ABD1" t="s">
        <v>1213</v>
      </c>
      <c r="ABE1" t="s">
        <v>2743</v>
      </c>
      <c r="ABF1" t="s">
        <v>2744</v>
      </c>
      <c r="ABG1" t="s">
        <v>659</v>
      </c>
      <c r="ABH1" t="s">
        <v>660</v>
      </c>
      <c r="ABI1" t="s">
        <v>2295</v>
      </c>
      <c r="ABJ1" t="s">
        <v>741</v>
      </c>
      <c r="ABK1" t="s">
        <v>742</v>
      </c>
      <c r="ABL1" t="s">
        <v>2297</v>
      </c>
      <c r="ABM1" t="s">
        <v>743</v>
      </c>
      <c r="ABN1" t="s">
        <v>744</v>
      </c>
      <c r="ABO1" t="s">
        <v>2299</v>
      </c>
      <c r="ABP1" t="s">
        <v>745</v>
      </c>
      <c r="ABQ1" t="s">
        <v>746</v>
      </c>
      <c r="ABR1" t="s">
        <v>2301</v>
      </c>
      <c r="ABS1" t="s">
        <v>747</v>
      </c>
      <c r="ABT1" t="s">
        <v>748</v>
      </c>
      <c r="ABU1" t="s">
        <v>2303</v>
      </c>
      <c r="ABV1" t="s">
        <v>749</v>
      </c>
      <c r="ABW1" t="s">
        <v>750</v>
      </c>
      <c r="ABX1" t="s">
        <v>2305</v>
      </c>
      <c r="ABY1" t="s">
        <v>751</v>
      </c>
      <c r="ABZ1" t="s">
        <v>752</v>
      </c>
      <c r="ACA1" t="s">
        <v>2307</v>
      </c>
      <c r="ACB1" t="s">
        <v>753</v>
      </c>
      <c r="ACC1" t="s">
        <v>754</v>
      </c>
      <c r="ACD1" t="s">
        <v>2309</v>
      </c>
      <c r="ACE1" t="s">
        <v>755</v>
      </c>
      <c r="ACF1" t="s">
        <v>756</v>
      </c>
      <c r="ACG1" t="s">
        <v>2310</v>
      </c>
      <c r="ACH1" t="s">
        <v>757</v>
      </c>
      <c r="ACI1" t="s">
        <v>758</v>
      </c>
      <c r="ACJ1" t="s">
        <v>2312</v>
      </c>
      <c r="ACK1" t="s">
        <v>759</v>
      </c>
      <c r="ACL1" t="s">
        <v>760</v>
      </c>
      <c r="ACM1" t="s">
        <v>2314</v>
      </c>
      <c r="ACN1" t="s">
        <v>761</v>
      </c>
      <c r="ACO1" t="s">
        <v>762</v>
      </c>
      <c r="ACP1" t="s">
        <v>2316</v>
      </c>
      <c r="ACQ1" t="s">
        <v>670</v>
      </c>
      <c r="ACR1" t="s">
        <v>671</v>
      </c>
      <c r="ACS1" t="s">
        <v>2361</v>
      </c>
      <c r="ACT1" t="s">
        <v>841</v>
      </c>
      <c r="ACU1" t="s">
        <v>842</v>
      </c>
      <c r="ACV1" t="s">
        <v>2363</v>
      </c>
      <c r="ACW1" t="s">
        <v>843</v>
      </c>
      <c r="ACX1" t="s">
        <v>844</v>
      </c>
      <c r="ACY1" t="s">
        <v>2365</v>
      </c>
      <c r="ACZ1" t="s">
        <v>845</v>
      </c>
      <c r="ADA1" t="s">
        <v>846</v>
      </c>
      <c r="ADB1" t="s">
        <v>2367</v>
      </c>
      <c r="ADC1" t="s">
        <v>847</v>
      </c>
      <c r="ADD1" t="s">
        <v>848</v>
      </c>
      <c r="ADE1" t="s">
        <v>2369</v>
      </c>
      <c r="ADF1" t="s">
        <v>849</v>
      </c>
      <c r="ADG1" t="s">
        <v>850</v>
      </c>
      <c r="ADH1" t="s">
        <v>2371</v>
      </c>
      <c r="ADI1" t="s">
        <v>851</v>
      </c>
      <c r="ADJ1" t="s">
        <v>852</v>
      </c>
      <c r="ADK1" t="s">
        <v>2373</v>
      </c>
      <c r="ADL1" t="s">
        <v>853</v>
      </c>
      <c r="ADM1" t="s">
        <v>854</v>
      </c>
      <c r="ADN1" t="s">
        <v>2375</v>
      </c>
      <c r="ADO1" t="s">
        <v>855</v>
      </c>
      <c r="ADP1" t="s">
        <v>856</v>
      </c>
      <c r="ADQ1" t="s">
        <v>2377</v>
      </c>
      <c r="ADR1" t="s">
        <v>857</v>
      </c>
      <c r="ADS1" t="s">
        <v>858</v>
      </c>
      <c r="ADT1" t="s">
        <v>2379</v>
      </c>
      <c r="ADU1" t="s">
        <v>859</v>
      </c>
      <c r="ADV1" t="s">
        <v>860</v>
      </c>
      <c r="ADW1" t="s">
        <v>2381</v>
      </c>
      <c r="ADX1" t="s">
        <v>861</v>
      </c>
      <c r="ADY1" t="s">
        <v>862</v>
      </c>
      <c r="ADZ1" t="s">
        <v>2383</v>
      </c>
      <c r="AEA1" t="s">
        <v>678</v>
      </c>
      <c r="AEB1" t="s">
        <v>679</v>
      </c>
      <c r="AEC1" t="s">
        <v>2451</v>
      </c>
      <c r="AED1" t="s">
        <v>680</v>
      </c>
      <c r="AEE1" t="s">
        <v>1013</v>
      </c>
      <c r="AEF1" t="s">
        <v>1014</v>
      </c>
      <c r="AEG1" t="s">
        <v>2454</v>
      </c>
      <c r="AEH1" t="s">
        <v>1015</v>
      </c>
      <c r="AEI1" t="s">
        <v>1016</v>
      </c>
      <c r="AEJ1" t="s">
        <v>1017</v>
      </c>
      <c r="AEK1" t="s">
        <v>2457</v>
      </c>
      <c r="AEL1" t="s">
        <v>1018</v>
      </c>
      <c r="AEM1" t="s">
        <v>1019</v>
      </c>
      <c r="AEN1" t="s">
        <v>1020</v>
      </c>
      <c r="AEO1" t="s">
        <v>2460</v>
      </c>
      <c r="AEP1" t="s">
        <v>1021</v>
      </c>
      <c r="AEQ1" t="s">
        <v>1022</v>
      </c>
      <c r="AER1" t="s">
        <v>1023</v>
      </c>
      <c r="AES1" t="s">
        <v>2463</v>
      </c>
      <c r="AET1" t="s">
        <v>1024</v>
      </c>
      <c r="AEU1" t="s">
        <v>1025</v>
      </c>
      <c r="AEV1" t="s">
        <v>1026</v>
      </c>
      <c r="AEW1" t="s">
        <v>2465</v>
      </c>
      <c r="AEX1" t="s">
        <v>1027</v>
      </c>
      <c r="AEY1" t="s">
        <v>3287</v>
      </c>
      <c r="AEZ1" t="s">
        <v>3288</v>
      </c>
      <c r="AFA1" t="s">
        <v>3289</v>
      </c>
      <c r="AFB1" t="s">
        <v>3290</v>
      </c>
      <c r="AFC1" t="s">
        <v>3291</v>
      </c>
      <c r="AFD1" t="s">
        <v>3292</v>
      </c>
      <c r="AFE1" t="s">
        <v>3293</v>
      </c>
      <c r="AFF1" t="s">
        <v>3294</v>
      </c>
      <c r="AFG1" t="s">
        <v>3295</v>
      </c>
      <c r="AFH1" t="s">
        <v>3296</v>
      </c>
      <c r="AFI1" t="s">
        <v>3297</v>
      </c>
      <c r="AFJ1" t="s">
        <v>3298</v>
      </c>
      <c r="AFK1" t="s">
        <v>3299</v>
      </c>
      <c r="AFL1" t="s">
        <v>3300</v>
      </c>
      <c r="AFM1" t="s">
        <v>3301</v>
      </c>
      <c r="AFN1" t="s">
        <v>3302</v>
      </c>
      <c r="AFO1" t="s">
        <v>3303</v>
      </c>
      <c r="AFP1" t="s">
        <v>3304</v>
      </c>
      <c r="AFQ1" t="s">
        <v>3305</v>
      </c>
      <c r="AFR1" t="s">
        <v>3306</v>
      </c>
      <c r="AFS1" t="s">
        <v>3307</v>
      </c>
      <c r="AFT1" t="s">
        <v>3308</v>
      </c>
      <c r="AFU1" t="s">
        <v>3309</v>
      </c>
      <c r="AFV1" t="s">
        <v>3310</v>
      </c>
      <c r="AFW1" t="s">
        <v>3311</v>
      </c>
      <c r="AFX1" t="s">
        <v>3312</v>
      </c>
      <c r="AFY1" t="s">
        <v>3313</v>
      </c>
      <c r="AFZ1" t="s">
        <v>3314</v>
      </c>
      <c r="AGA1" t="s">
        <v>3315</v>
      </c>
      <c r="AGB1" t="s">
        <v>3316</v>
      </c>
      <c r="AGC1" t="s">
        <v>3317</v>
      </c>
      <c r="AGD1" t="s">
        <v>3318</v>
      </c>
      <c r="AGE1" t="s">
        <v>3319</v>
      </c>
      <c r="AGF1" t="s">
        <v>3320</v>
      </c>
      <c r="AGG1" t="s">
        <v>3321</v>
      </c>
      <c r="AGH1" t="s">
        <v>3322</v>
      </c>
      <c r="AGI1" t="s">
        <v>3323</v>
      </c>
      <c r="AGJ1" t="s">
        <v>3324</v>
      </c>
      <c r="AGK1" t="s">
        <v>3325</v>
      </c>
      <c r="AGL1" t="s">
        <v>3326</v>
      </c>
      <c r="AGM1" t="s">
        <v>3327</v>
      </c>
      <c r="AGN1" t="s">
        <v>3328</v>
      </c>
      <c r="AGO1" t="s">
        <v>3329</v>
      </c>
      <c r="AGP1" t="s">
        <v>3330</v>
      </c>
      <c r="AGQ1" t="s">
        <v>2745</v>
      </c>
      <c r="AGR1" t="s">
        <v>2746</v>
      </c>
      <c r="AGS1" t="s">
        <v>2747</v>
      </c>
      <c r="AGT1" t="s">
        <v>2748</v>
      </c>
      <c r="AGU1" t="s">
        <v>2749</v>
      </c>
      <c r="AGV1" t="s">
        <v>2750</v>
      </c>
      <c r="AGW1" t="s">
        <v>2751</v>
      </c>
      <c r="AGX1" t="s">
        <v>2752</v>
      </c>
      <c r="AGY1" t="s">
        <v>2753</v>
      </c>
      <c r="AGZ1" t="s">
        <v>2754</v>
      </c>
      <c r="AHA1" t="s">
        <v>2755</v>
      </c>
      <c r="AHB1" t="s">
        <v>2756</v>
      </c>
      <c r="AHC1" t="s">
        <v>2757</v>
      </c>
      <c r="AHD1" t="s">
        <v>2758</v>
      </c>
      <c r="AHE1" t="s">
        <v>2759</v>
      </c>
      <c r="AHF1" t="s">
        <v>2760</v>
      </c>
      <c r="AHG1" t="s">
        <v>2761</v>
      </c>
      <c r="AHH1" t="s">
        <v>2762</v>
      </c>
      <c r="AHI1" t="s">
        <v>2763</v>
      </c>
      <c r="AHJ1" t="s">
        <v>2764</v>
      </c>
      <c r="AHK1" t="s">
        <v>2765</v>
      </c>
      <c r="AHL1" t="s">
        <v>2766</v>
      </c>
      <c r="AHM1" t="s">
        <v>2767</v>
      </c>
      <c r="AHN1" t="s">
        <v>2768</v>
      </c>
      <c r="AHO1" t="s">
        <v>2831</v>
      </c>
      <c r="AHP1" t="s">
        <v>2832</v>
      </c>
      <c r="AHQ1" t="s">
        <v>2833</v>
      </c>
      <c r="AHR1" t="s">
        <v>2834</v>
      </c>
      <c r="AHS1" t="s">
        <v>2835</v>
      </c>
      <c r="AHT1" t="s">
        <v>2836</v>
      </c>
      <c r="AHU1" t="s">
        <v>2837</v>
      </c>
      <c r="AHV1" t="s">
        <v>2838</v>
      </c>
      <c r="AHW1" t="s">
        <v>2839</v>
      </c>
      <c r="AHX1" t="s">
        <v>2840</v>
      </c>
      <c r="AHY1" t="s">
        <v>2841</v>
      </c>
      <c r="AHZ1" t="s">
        <v>2842</v>
      </c>
      <c r="AIA1" t="s">
        <v>2843</v>
      </c>
      <c r="AIB1" t="s">
        <v>2844</v>
      </c>
      <c r="AIC1" t="s">
        <v>2845</v>
      </c>
      <c r="AID1" t="s">
        <v>2846</v>
      </c>
      <c r="AIE1" t="s">
        <v>2847</v>
      </c>
      <c r="AIF1" t="s">
        <v>2848</v>
      </c>
      <c r="AIG1" t="s">
        <v>2849</v>
      </c>
      <c r="AIH1" t="s">
        <v>2850</v>
      </c>
      <c r="AII1" t="s">
        <v>2851</v>
      </c>
      <c r="AIJ1" t="s">
        <v>2852</v>
      </c>
      <c r="AIK1" t="s">
        <v>2853</v>
      </c>
      <c r="AIL1" t="s">
        <v>2854</v>
      </c>
      <c r="AIM1" t="s">
        <v>2919</v>
      </c>
      <c r="AIN1" t="s">
        <v>2920</v>
      </c>
      <c r="AIO1" t="s">
        <v>2921</v>
      </c>
      <c r="AIP1" t="s">
        <v>2922</v>
      </c>
      <c r="AIQ1" t="s">
        <v>2923</v>
      </c>
      <c r="AIR1" t="s">
        <v>2924</v>
      </c>
      <c r="AIS1" t="s">
        <v>2925</v>
      </c>
      <c r="AIT1" t="s">
        <v>2926</v>
      </c>
      <c r="AIU1" t="s">
        <v>2927</v>
      </c>
      <c r="AIV1" t="s">
        <v>2928</v>
      </c>
      <c r="AIW1" t="s">
        <v>2929</v>
      </c>
      <c r="AIX1" t="s">
        <v>2930</v>
      </c>
      <c r="AIY1" t="s">
        <v>3445</v>
      </c>
      <c r="AIZ1" t="s">
        <v>3446</v>
      </c>
      <c r="AJA1" t="s">
        <v>2769</v>
      </c>
      <c r="AJB1" t="s">
        <v>2771</v>
      </c>
      <c r="AJC1" t="s">
        <v>2772</v>
      </c>
      <c r="AJD1" t="s">
        <v>2774</v>
      </c>
      <c r="AJE1" t="s">
        <v>2775</v>
      </c>
      <c r="AJF1" t="s">
        <v>2777</v>
      </c>
      <c r="AJG1" t="s">
        <v>2778</v>
      </c>
      <c r="AJH1" t="s">
        <v>2780</v>
      </c>
      <c r="AJI1" t="s">
        <v>3237</v>
      </c>
      <c r="AJJ1" t="s">
        <v>3238</v>
      </c>
      <c r="AJK1" t="s">
        <v>2855</v>
      </c>
      <c r="AJL1" t="s">
        <v>2856</v>
      </c>
      <c r="AJM1" t="s">
        <v>2857</v>
      </c>
      <c r="AJN1" t="s">
        <v>2858</v>
      </c>
      <c r="AJO1" t="s">
        <v>2859</v>
      </c>
      <c r="AJP1" t="s">
        <v>2860</v>
      </c>
      <c r="AJQ1" t="s">
        <v>2861</v>
      </c>
      <c r="AJR1" t="s">
        <v>2862</v>
      </c>
      <c r="AJS1" t="s">
        <v>2863</v>
      </c>
      <c r="AJT1" t="s">
        <v>2864</v>
      </c>
      <c r="AJU1" t="s">
        <v>2865</v>
      </c>
      <c r="AJV1" t="s">
        <v>2866</v>
      </c>
      <c r="AJW1" t="s">
        <v>2867</v>
      </c>
      <c r="AJX1" t="s">
        <v>2868</v>
      </c>
      <c r="AJY1" t="s">
        <v>3239</v>
      </c>
      <c r="AJZ1" t="s">
        <v>3240</v>
      </c>
      <c r="AKA1" t="s">
        <v>3440</v>
      </c>
      <c r="AKB1" t="s">
        <v>3441</v>
      </c>
      <c r="AKC1" t="s">
        <v>3443</v>
      </c>
      <c r="AKD1" t="s">
        <v>3444</v>
      </c>
      <c r="AKE1" t="s">
        <v>2781</v>
      </c>
      <c r="AKF1" t="s">
        <v>2782</v>
      </c>
      <c r="AKG1" t="s">
        <v>2783</v>
      </c>
      <c r="AKH1" t="s">
        <v>2785</v>
      </c>
      <c r="AKI1" t="s">
        <v>2784</v>
      </c>
      <c r="AKJ1" t="s">
        <v>2786</v>
      </c>
      <c r="AKK1" t="s">
        <v>2787</v>
      </c>
      <c r="AKL1" t="s">
        <v>2788</v>
      </c>
      <c r="AKM1" t="s">
        <v>2790</v>
      </c>
      <c r="AKN1" t="s">
        <v>2789</v>
      </c>
      <c r="AKO1" t="s">
        <v>2791</v>
      </c>
      <c r="AKP1" t="s">
        <v>2792</v>
      </c>
      <c r="AKQ1" t="s">
        <v>2793</v>
      </c>
      <c r="AKR1" t="s">
        <v>2795</v>
      </c>
      <c r="AKS1" t="s">
        <v>2794</v>
      </c>
      <c r="AKT1" t="s">
        <v>2796</v>
      </c>
      <c r="AKU1" t="s">
        <v>2797</v>
      </c>
      <c r="AKV1" t="s">
        <v>2798</v>
      </c>
      <c r="AKW1" t="s">
        <v>2800</v>
      </c>
      <c r="AKX1" t="s">
        <v>2799</v>
      </c>
      <c r="AKY1" t="s">
        <v>2801</v>
      </c>
      <c r="AKZ1" t="s">
        <v>2802</v>
      </c>
      <c r="ALA1" t="s">
        <v>2803</v>
      </c>
      <c r="ALB1" t="s">
        <v>2805</v>
      </c>
      <c r="ALC1" t="s">
        <v>2804</v>
      </c>
      <c r="ALD1" t="s">
        <v>2806</v>
      </c>
      <c r="ALE1" t="s">
        <v>2807</v>
      </c>
      <c r="ALF1" t="s">
        <v>2808</v>
      </c>
      <c r="ALG1" t="s">
        <v>2810</v>
      </c>
      <c r="ALH1" t="s">
        <v>2809</v>
      </c>
      <c r="ALI1" t="s">
        <v>2811</v>
      </c>
      <c r="ALJ1" t="s">
        <v>2812</v>
      </c>
      <c r="ALK1" t="s">
        <v>2813</v>
      </c>
      <c r="ALL1" t="s">
        <v>2815</v>
      </c>
      <c r="ALM1" t="s">
        <v>2814</v>
      </c>
      <c r="ALN1" t="s">
        <v>2816</v>
      </c>
      <c r="ALO1" t="s">
        <v>2817</v>
      </c>
      <c r="ALP1" t="s">
        <v>2818</v>
      </c>
      <c r="ALQ1" t="s">
        <v>2820</v>
      </c>
      <c r="ALR1" t="s">
        <v>2819</v>
      </c>
      <c r="ALS1" t="s">
        <v>2821</v>
      </c>
      <c r="ALT1" t="s">
        <v>2822</v>
      </c>
      <c r="ALU1" t="s">
        <v>2823</v>
      </c>
      <c r="ALV1" t="s">
        <v>2825</v>
      </c>
      <c r="ALW1" t="s">
        <v>2824</v>
      </c>
      <c r="ALX1" t="s">
        <v>2826</v>
      </c>
      <c r="ALY1" t="s">
        <v>2827</v>
      </c>
      <c r="ALZ1" t="s">
        <v>2828</v>
      </c>
      <c r="AMA1" t="s">
        <v>2830</v>
      </c>
      <c r="AMB1" t="s">
        <v>2829</v>
      </c>
      <c r="AMC1" t="s">
        <v>2869</v>
      </c>
      <c r="AMD1" t="s">
        <v>2870</v>
      </c>
      <c r="AME1" t="s">
        <v>2871</v>
      </c>
      <c r="AMF1" t="s">
        <v>2872</v>
      </c>
      <c r="AMG1" t="s">
        <v>2873</v>
      </c>
      <c r="AMH1" t="s">
        <v>2874</v>
      </c>
      <c r="AMI1" t="s">
        <v>2875</v>
      </c>
      <c r="AMJ1" t="s">
        <v>2876</v>
      </c>
      <c r="AMK1" t="s">
        <v>2877</v>
      </c>
      <c r="AML1" t="s">
        <v>2878</v>
      </c>
      <c r="AMM1" t="s">
        <v>2879</v>
      </c>
      <c r="AMN1" t="s">
        <v>2880</v>
      </c>
      <c r="AMO1" t="s">
        <v>2881</v>
      </c>
      <c r="AMP1" t="s">
        <v>2882</v>
      </c>
      <c r="AMQ1" t="s">
        <v>2883</v>
      </c>
      <c r="AMR1" t="s">
        <v>2884</v>
      </c>
      <c r="AMS1" t="s">
        <v>2885</v>
      </c>
      <c r="AMT1" t="s">
        <v>2886</v>
      </c>
      <c r="AMU1" t="s">
        <v>2887</v>
      </c>
      <c r="AMV1" t="s">
        <v>2888</v>
      </c>
      <c r="AMW1" t="s">
        <v>2889</v>
      </c>
      <c r="AMX1" t="s">
        <v>2890</v>
      </c>
      <c r="AMY1" t="s">
        <v>2891</v>
      </c>
      <c r="AMZ1" t="s">
        <v>2892</v>
      </c>
      <c r="ANA1" t="s">
        <v>2893</v>
      </c>
      <c r="ANB1" t="s">
        <v>2894</v>
      </c>
      <c r="ANC1" t="s">
        <v>2895</v>
      </c>
      <c r="AND1" t="s">
        <v>2896</v>
      </c>
      <c r="ANE1" t="s">
        <v>2897</v>
      </c>
      <c r="ANF1" t="s">
        <v>2898</v>
      </c>
      <c r="ANG1" t="s">
        <v>2899</v>
      </c>
      <c r="ANH1" t="s">
        <v>2900</v>
      </c>
      <c r="ANI1" t="s">
        <v>2901</v>
      </c>
      <c r="ANJ1" t="s">
        <v>2902</v>
      </c>
      <c r="ANK1" t="s">
        <v>2903</v>
      </c>
      <c r="ANL1" t="s">
        <v>2904</v>
      </c>
      <c r="ANM1" t="s">
        <v>2905</v>
      </c>
      <c r="ANN1" t="s">
        <v>2906</v>
      </c>
      <c r="ANO1" t="s">
        <v>2907</v>
      </c>
      <c r="ANP1" t="s">
        <v>2908</v>
      </c>
      <c r="ANQ1" t="s">
        <v>2909</v>
      </c>
      <c r="ANR1" t="s">
        <v>2910</v>
      </c>
      <c r="ANS1" t="s">
        <v>2911</v>
      </c>
      <c r="ANT1" t="s">
        <v>2912</v>
      </c>
      <c r="ANU1" t="s">
        <v>2913</v>
      </c>
      <c r="ANV1" t="s">
        <v>2914</v>
      </c>
      <c r="ANW1" t="s">
        <v>2915</v>
      </c>
      <c r="ANX1" t="s">
        <v>2916</v>
      </c>
      <c r="ANY1" t="s">
        <v>2917</v>
      </c>
      <c r="ANZ1" t="s">
        <v>2918</v>
      </c>
      <c r="AOA1" t="s">
        <v>3106</v>
      </c>
      <c r="AOB1" t="s">
        <v>3107</v>
      </c>
      <c r="AOC1" t="s">
        <v>3108</v>
      </c>
      <c r="AOD1" t="s">
        <v>3109</v>
      </c>
      <c r="AOE1" t="s">
        <v>3110</v>
      </c>
      <c r="AOF1" t="s">
        <v>3111</v>
      </c>
      <c r="AOG1" t="s">
        <v>3112</v>
      </c>
      <c r="AOH1" t="s">
        <v>3113</v>
      </c>
      <c r="AOI1" t="s">
        <v>3114</v>
      </c>
      <c r="AOJ1" t="s">
        <v>3115</v>
      </c>
      <c r="AOK1" t="s">
        <v>3116</v>
      </c>
      <c r="AOL1" t="s">
        <v>3117</v>
      </c>
      <c r="AOM1" t="s">
        <v>3118</v>
      </c>
      <c r="AON1" t="s">
        <v>3119</v>
      </c>
      <c r="AOO1" t="s">
        <v>3120</v>
      </c>
      <c r="AOP1" t="s">
        <v>3121</v>
      </c>
      <c r="AOQ1" t="s">
        <v>3122</v>
      </c>
      <c r="AOR1" t="s">
        <v>3123</v>
      </c>
      <c r="AOS1" t="s">
        <v>3124</v>
      </c>
      <c r="AOT1" t="s">
        <v>3125</v>
      </c>
      <c r="AOU1" t="s">
        <v>3126</v>
      </c>
      <c r="AOV1" t="s">
        <v>3127</v>
      </c>
      <c r="AOW1" t="s">
        <v>3128</v>
      </c>
      <c r="AOX1" t="s">
        <v>3129</v>
      </c>
      <c r="AOY1" t="s">
        <v>3130</v>
      </c>
      <c r="AOZ1" t="s">
        <v>3447</v>
      </c>
      <c r="APA1" t="s">
        <v>3448</v>
      </c>
      <c r="APB1" t="s">
        <v>3449</v>
      </c>
      <c r="APC1" t="s">
        <v>3450</v>
      </c>
      <c r="APD1" t="s">
        <v>3451</v>
      </c>
      <c r="APE1" t="s">
        <v>3131</v>
      </c>
      <c r="APF1" t="s">
        <v>3132</v>
      </c>
      <c r="APG1" t="s">
        <v>3133</v>
      </c>
      <c r="APH1" t="s">
        <v>3134</v>
      </c>
      <c r="API1" t="s">
        <v>3135</v>
      </c>
      <c r="APJ1" t="s">
        <v>3136</v>
      </c>
      <c r="APK1" t="s">
        <v>3137</v>
      </c>
      <c r="APL1" t="s">
        <v>3138</v>
      </c>
      <c r="APM1" t="s">
        <v>3139</v>
      </c>
      <c r="APN1" t="s">
        <v>3140</v>
      </c>
      <c r="APO1" t="s">
        <v>3141</v>
      </c>
      <c r="APP1" t="s">
        <v>3142</v>
      </c>
      <c r="APQ1" t="s">
        <v>3143</v>
      </c>
      <c r="APR1" t="s">
        <v>3144</v>
      </c>
      <c r="APS1" t="s">
        <v>3145</v>
      </c>
      <c r="APT1" t="s">
        <v>3146</v>
      </c>
      <c r="APU1" t="s">
        <v>3147</v>
      </c>
      <c r="APV1" t="s">
        <v>3148</v>
      </c>
      <c r="APW1" t="s">
        <v>3149</v>
      </c>
      <c r="APX1" t="s">
        <v>3150</v>
      </c>
      <c r="APY1" t="s">
        <v>3151</v>
      </c>
      <c r="APZ1" t="s">
        <v>3152</v>
      </c>
      <c r="AQA1" t="s">
        <v>3153</v>
      </c>
      <c r="AQB1" t="s">
        <v>3154</v>
      </c>
      <c r="AQC1" t="s">
        <v>3155</v>
      </c>
      <c r="AQD1" t="s">
        <v>3516</v>
      </c>
      <c r="AQE1" t="s">
        <v>3517</v>
      </c>
      <c r="AQF1" t="s">
        <v>3518</v>
      </c>
      <c r="AQG1" t="s">
        <v>3519</v>
      </c>
      <c r="AQH1" t="s">
        <v>3520</v>
      </c>
      <c r="AQI1" t="s">
        <v>3521</v>
      </c>
      <c r="AQJ1" t="s">
        <v>3522</v>
      </c>
      <c r="AQK1" t="s">
        <v>3523</v>
      </c>
      <c r="AQL1" t="s">
        <v>3524</v>
      </c>
      <c r="AQM1" t="s">
        <v>3525</v>
      </c>
      <c r="AQN1" t="s">
        <v>3526</v>
      </c>
      <c r="AQO1" t="s">
        <v>3527</v>
      </c>
      <c r="AQP1" t="s">
        <v>3157</v>
      </c>
      <c r="AQQ1" t="s">
        <v>3158</v>
      </c>
      <c r="AQR1" t="s">
        <v>3159</v>
      </c>
      <c r="AQS1" t="s">
        <v>3160</v>
      </c>
      <c r="AQT1" t="s">
        <v>3161</v>
      </c>
      <c r="AQU1" t="s">
        <v>3162</v>
      </c>
      <c r="AQV1" t="s">
        <v>3163</v>
      </c>
      <c r="AQW1" t="s">
        <v>3164</v>
      </c>
      <c r="AQX1" t="s">
        <v>3165</v>
      </c>
      <c r="AQY1" t="s">
        <v>3166</v>
      </c>
      <c r="AQZ1" t="s">
        <v>3167</v>
      </c>
      <c r="ARA1" t="s">
        <v>3168</v>
      </c>
      <c r="ARB1" t="s">
        <v>3169</v>
      </c>
      <c r="ARC1" t="s">
        <v>3170</v>
      </c>
      <c r="ARD1" t="s">
        <v>3171</v>
      </c>
      <c r="ARE1" t="s">
        <v>3172</v>
      </c>
      <c r="ARF1" t="s">
        <v>3631</v>
      </c>
      <c r="ARG1" t="s">
        <v>3632</v>
      </c>
      <c r="ARH1" t="s">
        <v>3173</v>
      </c>
      <c r="ARI1" t="s">
        <v>3174</v>
      </c>
      <c r="ARJ1" t="s">
        <v>3175</v>
      </c>
      <c r="ARK1" t="s">
        <v>3176</v>
      </c>
      <c r="ARL1" t="s">
        <v>3177</v>
      </c>
      <c r="ARM1" t="s">
        <v>3178</v>
      </c>
      <c r="ARN1" t="s">
        <v>3179</v>
      </c>
      <c r="ARO1" t="s">
        <v>3180</v>
      </c>
      <c r="ARP1" t="s">
        <v>3181</v>
      </c>
      <c r="ARQ1" t="s">
        <v>3182</v>
      </c>
      <c r="ARR1" t="s">
        <v>3183</v>
      </c>
      <c r="ARS1" t="s">
        <v>3184</v>
      </c>
      <c r="ART1" t="s">
        <v>3185</v>
      </c>
      <c r="ARU1" t="s">
        <v>3186</v>
      </c>
      <c r="ARV1" t="s">
        <v>3640</v>
      </c>
      <c r="ARW1" t="s">
        <v>3641</v>
      </c>
      <c r="ARX1" t="s">
        <v>3643</v>
      </c>
      <c r="ARY1" t="s">
        <v>3644</v>
      </c>
      <c r="ARZ1" t="s">
        <v>2933</v>
      </c>
      <c r="ASA1" t="s">
        <v>2934</v>
      </c>
      <c r="ASB1" t="s">
        <v>2935</v>
      </c>
      <c r="ASC1" t="s">
        <v>2936</v>
      </c>
      <c r="ASD1" t="s">
        <v>2937</v>
      </c>
      <c r="ASE1" t="s">
        <v>2938</v>
      </c>
      <c r="ASF1" t="s">
        <v>2939</v>
      </c>
      <c r="ASG1" t="s">
        <v>2940</v>
      </c>
      <c r="ASH1" t="s">
        <v>2941</v>
      </c>
      <c r="ASI1" t="s">
        <v>2942</v>
      </c>
      <c r="ASJ1" t="s">
        <v>2943</v>
      </c>
      <c r="ASK1" t="s">
        <v>2944</v>
      </c>
      <c r="ASL1" t="s">
        <v>2945</v>
      </c>
      <c r="ASM1" t="s">
        <v>2946</v>
      </c>
      <c r="ASN1" t="s">
        <v>2947</v>
      </c>
      <c r="ASO1" t="s">
        <v>2948</v>
      </c>
      <c r="ASP1" t="s">
        <v>2949</v>
      </c>
      <c r="ASQ1" t="s">
        <v>2950</v>
      </c>
      <c r="ASR1" t="s">
        <v>2951</v>
      </c>
      <c r="ASS1" t="s">
        <v>2952</v>
      </c>
      <c r="AST1" t="s">
        <v>2953</v>
      </c>
      <c r="ASU1" t="s">
        <v>2954</v>
      </c>
      <c r="ASV1" t="s">
        <v>2955</v>
      </c>
      <c r="ASW1" t="s">
        <v>2956</v>
      </c>
      <c r="ASX1" t="s">
        <v>2957</v>
      </c>
      <c r="ASY1" t="s">
        <v>2958</v>
      </c>
      <c r="ASZ1" t="s">
        <v>2959</v>
      </c>
      <c r="ATA1" t="s">
        <v>2960</v>
      </c>
      <c r="ATB1" t="s">
        <v>2961</v>
      </c>
      <c r="ATC1" t="s">
        <v>2962</v>
      </c>
      <c r="ATD1" t="s">
        <v>2963</v>
      </c>
      <c r="ATE1" t="s">
        <v>2964</v>
      </c>
      <c r="ATF1" t="s">
        <v>2965</v>
      </c>
      <c r="ATG1" t="s">
        <v>2966</v>
      </c>
      <c r="ATH1" t="s">
        <v>2967</v>
      </c>
      <c r="ATI1" t="s">
        <v>2968</v>
      </c>
      <c r="ATJ1" t="s">
        <v>3452</v>
      </c>
      <c r="ATK1" t="s">
        <v>3453</v>
      </c>
      <c r="ATL1" t="s">
        <v>3454</v>
      </c>
      <c r="ATM1" t="s">
        <v>3455</v>
      </c>
      <c r="ATN1" t="s">
        <v>3456</v>
      </c>
      <c r="ATO1" t="s">
        <v>3457</v>
      </c>
      <c r="ATP1" t="s">
        <v>3458</v>
      </c>
      <c r="ATQ1" t="s">
        <v>3459</v>
      </c>
      <c r="ATR1" t="s">
        <v>3460</v>
      </c>
      <c r="ATS1" t="s">
        <v>3461</v>
      </c>
      <c r="ATT1" t="s">
        <v>3462</v>
      </c>
      <c r="ATU1" t="s">
        <v>3463</v>
      </c>
      <c r="ATV1" t="s">
        <v>3464</v>
      </c>
      <c r="ATW1" t="s">
        <v>3465</v>
      </c>
      <c r="ATX1" t="s">
        <v>3466</v>
      </c>
      <c r="ATY1" t="s">
        <v>3467</v>
      </c>
      <c r="ATZ1" t="s">
        <v>3468</v>
      </c>
      <c r="AUA1" t="s">
        <v>3469</v>
      </c>
      <c r="AUB1" t="s">
        <v>3470</v>
      </c>
      <c r="AUC1" t="s">
        <v>3471</v>
      </c>
      <c r="AUD1" t="s">
        <v>3472</v>
      </c>
      <c r="AUE1" t="s">
        <v>3473</v>
      </c>
      <c r="AUF1" t="s">
        <v>3474</v>
      </c>
      <c r="AUG1" t="s">
        <v>3475</v>
      </c>
      <c r="AUH1" t="s">
        <v>3476</v>
      </c>
      <c r="AUI1" t="s">
        <v>3477</v>
      </c>
      <c r="AUJ1" t="s">
        <v>3478</v>
      </c>
      <c r="AUK1" t="s">
        <v>3479</v>
      </c>
      <c r="AUL1" t="s">
        <v>3480</v>
      </c>
      <c r="AUM1" t="s">
        <v>3481</v>
      </c>
      <c r="AUN1" t="s">
        <v>3482</v>
      </c>
      <c r="AUO1" t="s">
        <v>3483</v>
      </c>
      <c r="AUP1" t="s">
        <v>3484</v>
      </c>
      <c r="AUQ1" t="s">
        <v>3485</v>
      </c>
      <c r="AUR1" t="s">
        <v>3486</v>
      </c>
      <c r="AUS1" t="s">
        <v>3487</v>
      </c>
      <c r="AUT1" t="s">
        <v>3488</v>
      </c>
      <c r="AUU1" t="s">
        <v>3489</v>
      </c>
      <c r="AUV1" t="s">
        <v>3490</v>
      </c>
      <c r="AUW1" t="s">
        <v>3491</v>
      </c>
      <c r="AUX1" t="s">
        <v>3492</v>
      </c>
      <c r="AUY1" t="s">
        <v>3493</v>
      </c>
      <c r="AUZ1" t="s">
        <v>3494</v>
      </c>
      <c r="AVA1" t="s">
        <v>3495</v>
      </c>
      <c r="AVB1" t="s">
        <v>3496</v>
      </c>
      <c r="AVC1" t="s">
        <v>3497</v>
      </c>
      <c r="AVD1" t="s">
        <v>3498</v>
      </c>
      <c r="AVE1" t="s">
        <v>3499</v>
      </c>
      <c r="AVF1" t="s">
        <v>2969</v>
      </c>
      <c r="AVG1" t="s">
        <v>2970</v>
      </c>
      <c r="AVH1" t="s">
        <v>2971</v>
      </c>
      <c r="AVI1" t="s">
        <v>2972</v>
      </c>
      <c r="AVJ1" t="s">
        <v>2973</v>
      </c>
      <c r="AVK1" t="s">
        <v>2974</v>
      </c>
      <c r="AVL1" t="s">
        <v>2975</v>
      </c>
      <c r="AVM1" t="s">
        <v>2976</v>
      </c>
      <c r="AVN1" t="s">
        <v>2977</v>
      </c>
      <c r="AVO1" t="s">
        <v>2979</v>
      </c>
      <c r="AVP1" t="s">
        <v>2980</v>
      </c>
      <c r="AVQ1" t="s">
        <v>2981</v>
      </c>
      <c r="AVR1" t="s">
        <v>2982</v>
      </c>
      <c r="AVS1" t="s">
        <v>2983</v>
      </c>
      <c r="AVT1" t="s">
        <v>2984</v>
      </c>
      <c r="AVU1" t="s">
        <v>2985</v>
      </c>
      <c r="AVV1" t="s">
        <v>2986</v>
      </c>
      <c r="AVW1" t="s">
        <v>2987</v>
      </c>
      <c r="AVX1" t="s">
        <v>2988</v>
      </c>
      <c r="AVY1" t="s">
        <v>2989</v>
      </c>
      <c r="AVZ1" t="s">
        <v>2990</v>
      </c>
      <c r="AWA1" t="s">
        <v>2991</v>
      </c>
      <c r="AWB1" t="s">
        <v>2992</v>
      </c>
      <c r="AWC1" t="s">
        <v>2993</v>
      </c>
      <c r="AWD1" t="s">
        <v>3646</v>
      </c>
      <c r="AWE1" t="s">
        <v>3647</v>
      </c>
      <c r="AWF1" t="s">
        <v>3648</v>
      </c>
      <c r="AWG1" t="s">
        <v>3649</v>
      </c>
      <c r="AWH1" t="s">
        <v>3650</v>
      </c>
      <c r="AWI1" t="s">
        <v>3651</v>
      </c>
      <c r="AWJ1" t="s">
        <v>3652</v>
      </c>
      <c r="AWK1" t="s">
        <v>3653</v>
      </c>
      <c r="AWL1" t="s">
        <v>3654</v>
      </c>
      <c r="AWM1" t="s">
        <v>3655</v>
      </c>
      <c r="AWN1" t="s">
        <v>3656</v>
      </c>
      <c r="AWO1" t="s">
        <v>3657</v>
      </c>
      <c r="AWP1" t="s">
        <v>3658</v>
      </c>
      <c r="AWQ1" t="s">
        <v>3659</v>
      </c>
      <c r="AWR1" t="s">
        <v>3211</v>
      </c>
      <c r="AWS1" t="s">
        <v>3212</v>
      </c>
      <c r="AWT1" t="s">
        <v>3213</v>
      </c>
      <c r="AWU1" t="s">
        <v>3214</v>
      </c>
      <c r="AWV1" t="s">
        <v>3215</v>
      </c>
      <c r="AWW1" t="s">
        <v>3216</v>
      </c>
      <c r="AWX1" t="s">
        <v>3217</v>
      </c>
      <c r="AWY1" t="s">
        <v>3218</v>
      </c>
      <c r="AWZ1" t="s">
        <v>3219</v>
      </c>
      <c r="AXA1" t="s">
        <v>3220</v>
      </c>
      <c r="AXB1" t="s">
        <v>3221</v>
      </c>
      <c r="AXC1" t="s">
        <v>3222</v>
      </c>
      <c r="AXD1" t="s">
        <v>687</v>
      </c>
      <c r="AXE1" t="s">
        <v>688</v>
      </c>
      <c r="AXF1" t="s">
        <v>689</v>
      </c>
      <c r="AXG1" t="s">
        <v>690</v>
      </c>
      <c r="AXH1" t="s">
        <v>691</v>
      </c>
      <c r="AXI1" t="s">
        <v>692</v>
      </c>
      <c r="AXJ1" t="s">
        <v>693</v>
      </c>
      <c r="AXK1" t="s">
        <v>2495</v>
      </c>
      <c r="AXL1" t="s">
        <v>1977</v>
      </c>
      <c r="AXM1" t="s">
        <v>1978</v>
      </c>
      <c r="AXN1" t="s">
        <v>1979</v>
      </c>
      <c r="AXO1" t="s">
        <v>2994</v>
      </c>
      <c r="AXP1" t="s">
        <v>1214</v>
      </c>
      <c r="AXQ1" t="s">
        <v>1215</v>
      </c>
      <c r="AXR1" t="s">
        <v>1216</v>
      </c>
      <c r="AXS1" t="s">
        <v>1217</v>
      </c>
      <c r="AXT1" t="s">
        <v>1218</v>
      </c>
      <c r="AXU1" t="s">
        <v>1219</v>
      </c>
      <c r="AXV1" t="s">
        <v>1220</v>
      </c>
      <c r="AXW1" t="s">
        <v>2496</v>
      </c>
      <c r="AXX1" t="s">
        <v>1980</v>
      </c>
      <c r="AXY1" t="s">
        <v>1981</v>
      </c>
      <c r="AXZ1" t="s">
        <v>1982</v>
      </c>
      <c r="AYA1" t="s">
        <v>2995</v>
      </c>
      <c r="AYB1" t="s">
        <v>1221</v>
      </c>
      <c r="AYC1" t="s">
        <v>1222</v>
      </c>
      <c r="AYD1" t="s">
        <v>1223</v>
      </c>
      <c r="AYE1" t="s">
        <v>1224</v>
      </c>
      <c r="AYF1" t="s">
        <v>1225</v>
      </c>
      <c r="AYG1" t="s">
        <v>1226</v>
      </c>
      <c r="AYH1" t="s">
        <v>1227</v>
      </c>
      <c r="AYI1" t="s">
        <v>2497</v>
      </c>
      <c r="AYJ1" t="s">
        <v>1983</v>
      </c>
      <c r="AYK1" t="s">
        <v>1984</v>
      </c>
      <c r="AYL1" t="s">
        <v>1985</v>
      </c>
      <c r="AYM1" t="s">
        <v>2996</v>
      </c>
      <c r="AYN1" t="s">
        <v>1228</v>
      </c>
      <c r="AYO1" t="s">
        <v>1229</v>
      </c>
      <c r="AYP1" t="s">
        <v>1230</v>
      </c>
      <c r="AYQ1" t="s">
        <v>1231</v>
      </c>
      <c r="AYR1" t="s">
        <v>1232</v>
      </c>
      <c r="AYS1" t="s">
        <v>1233</v>
      </c>
      <c r="AYT1" t="s">
        <v>1234</v>
      </c>
      <c r="AYU1" t="s">
        <v>2500</v>
      </c>
      <c r="AYV1" t="s">
        <v>1986</v>
      </c>
      <c r="AYW1" t="s">
        <v>1987</v>
      </c>
      <c r="AYX1" t="s">
        <v>1988</v>
      </c>
      <c r="AYY1" t="s">
        <v>2997</v>
      </c>
      <c r="AYZ1" t="s">
        <v>1235</v>
      </c>
      <c r="AZA1" t="s">
        <v>1236</v>
      </c>
      <c r="AZB1" t="s">
        <v>1237</v>
      </c>
      <c r="AZC1" t="s">
        <v>1238</v>
      </c>
      <c r="AZD1" t="s">
        <v>1239</v>
      </c>
      <c r="AZE1" t="s">
        <v>1240</v>
      </c>
      <c r="AZF1" t="s">
        <v>1241</v>
      </c>
      <c r="AZG1" t="s">
        <v>2501</v>
      </c>
      <c r="AZH1" t="s">
        <v>1989</v>
      </c>
      <c r="AZI1" t="s">
        <v>1990</v>
      </c>
      <c r="AZJ1" t="s">
        <v>1991</v>
      </c>
      <c r="AZK1" t="s">
        <v>2998</v>
      </c>
      <c r="AZL1" t="s">
        <v>1242</v>
      </c>
      <c r="AZM1" t="s">
        <v>1243</v>
      </c>
      <c r="AZN1" t="s">
        <v>1244</v>
      </c>
      <c r="AZO1" t="s">
        <v>1245</v>
      </c>
      <c r="AZP1" t="s">
        <v>1246</v>
      </c>
      <c r="AZQ1" t="s">
        <v>1247</v>
      </c>
      <c r="AZR1" t="s">
        <v>1248</v>
      </c>
      <c r="AZS1" t="s">
        <v>2502</v>
      </c>
      <c r="AZT1" t="s">
        <v>1992</v>
      </c>
      <c r="AZU1" t="s">
        <v>1993</v>
      </c>
      <c r="AZV1" t="s">
        <v>1994</v>
      </c>
      <c r="AZW1" t="s">
        <v>2999</v>
      </c>
      <c r="AZX1" t="s">
        <v>1249</v>
      </c>
      <c r="AZY1" t="s">
        <v>1250</v>
      </c>
      <c r="AZZ1" t="s">
        <v>1251</v>
      </c>
      <c r="BAA1" t="s">
        <v>1252</v>
      </c>
      <c r="BAB1" t="s">
        <v>1253</v>
      </c>
      <c r="BAC1" t="s">
        <v>1254</v>
      </c>
      <c r="BAD1" t="s">
        <v>1255</v>
      </c>
      <c r="BAE1" t="s">
        <v>2503</v>
      </c>
      <c r="BAF1" t="s">
        <v>1995</v>
      </c>
      <c r="BAG1" t="s">
        <v>1996</v>
      </c>
      <c r="BAH1" t="s">
        <v>1997</v>
      </c>
      <c r="BAI1" t="s">
        <v>3000</v>
      </c>
      <c r="BAJ1" t="s">
        <v>1256</v>
      </c>
      <c r="BAK1" t="s">
        <v>1257</v>
      </c>
      <c r="BAL1" t="s">
        <v>1258</v>
      </c>
      <c r="BAM1" t="s">
        <v>1259</v>
      </c>
      <c r="BAN1" t="s">
        <v>1260</v>
      </c>
      <c r="BAO1" t="s">
        <v>1261</v>
      </c>
      <c r="BAP1" t="s">
        <v>1262</v>
      </c>
      <c r="BAQ1" t="s">
        <v>2504</v>
      </c>
      <c r="BAR1" t="s">
        <v>1998</v>
      </c>
      <c r="BAS1" t="s">
        <v>1999</v>
      </c>
      <c r="BAT1" t="s">
        <v>2000</v>
      </c>
      <c r="BAU1" t="s">
        <v>3001</v>
      </c>
      <c r="BAV1" t="s">
        <v>1263</v>
      </c>
      <c r="BAW1" t="s">
        <v>1264</v>
      </c>
      <c r="BAX1" t="s">
        <v>1265</v>
      </c>
      <c r="BAY1" t="s">
        <v>1266</v>
      </c>
      <c r="BAZ1" t="s">
        <v>1267</v>
      </c>
      <c r="BBA1" t="s">
        <v>1268</v>
      </c>
      <c r="BBB1" t="s">
        <v>1269</v>
      </c>
      <c r="BBC1" t="s">
        <v>2505</v>
      </c>
      <c r="BBD1" t="s">
        <v>2001</v>
      </c>
      <c r="BBE1" t="s">
        <v>2002</v>
      </c>
      <c r="BBF1" t="s">
        <v>2003</v>
      </c>
      <c r="BBG1" t="s">
        <v>3002</v>
      </c>
      <c r="BBH1" t="s">
        <v>1270</v>
      </c>
      <c r="BBI1" t="s">
        <v>1271</v>
      </c>
      <c r="BBJ1" t="s">
        <v>1272</v>
      </c>
      <c r="BBK1" t="s">
        <v>1273</v>
      </c>
      <c r="BBL1" t="s">
        <v>1274</v>
      </c>
      <c r="BBM1" t="s">
        <v>1275</v>
      </c>
      <c r="BBN1" t="s">
        <v>1276</v>
      </c>
      <c r="BBO1" t="s">
        <v>2506</v>
      </c>
      <c r="BBP1" t="s">
        <v>2004</v>
      </c>
      <c r="BBQ1" t="s">
        <v>2005</v>
      </c>
      <c r="BBR1" t="s">
        <v>2006</v>
      </c>
      <c r="BBS1" t="s">
        <v>3003</v>
      </c>
      <c r="BBT1" t="s">
        <v>1277</v>
      </c>
      <c r="BBU1" t="s">
        <v>1278</v>
      </c>
      <c r="BBV1" t="s">
        <v>1279</v>
      </c>
      <c r="BBW1" t="s">
        <v>1280</v>
      </c>
      <c r="BBX1" t="s">
        <v>1281</v>
      </c>
      <c r="BBY1" t="s">
        <v>1282</v>
      </c>
      <c r="BBZ1" t="s">
        <v>1283</v>
      </c>
      <c r="BCA1" t="s">
        <v>2507</v>
      </c>
      <c r="BCB1" t="s">
        <v>2007</v>
      </c>
      <c r="BCC1" t="s">
        <v>2008</v>
      </c>
      <c r="BCD1" t="s">
        <v>2009</v>
      </c>
      <c r="BCE1" t="s">
        <v>3004</v>
      </c>
      <c r="BCF1" t="s">
        <v>1284</v>
      </c>
      <c r="BCG1" t="s">
        <v>1285</v>
      </c>
      <c r="BCH1" t="s">
        <v>1286</v>
      </c>
      <c r="BCI1" t="s">
        <v>1287</v>
      </c>
      <c r="BCJ1" t="s">
        <v>1288</v>
      </c>
      <c r="BCK1" t="s">
        <v>1289</v>
      </c>
      <c r="BCL1" t="s">
        <v>1290</v>
      </c>
      <c r="BCM1" t="s">
        <v>2508</v>
      </c>
      <c r="BCN1" t="s">
        <v>2010</v>
      </c>
      <c r="BCO1" t="s">
        <v>2011</v>
      </c>
      <c r="BCP1" t="s">
        <v>2012</v>
      </c>
      <c r="BCQ1" t="s">
        <v>3005</v>
      </c>
      <c r="BCR1" t="s">
        <v>1291</v>
      </c>
      <c r="BCS1" t="s">
        <v>1292</v>
      </c>
      <c r="BCT1" t="s">
        <v>1293</v>
      </c>
      <c r="BCU1" t="s">
        <v>1294</v>
      </c>
      <c r="BCV1" t="s">
        <v>1295</v>
      </c>
      <c r="BCW1" t="s">
        <v>1296</v>
      </c>
      <c r="BCX1" t="s">
        <v>1297</v>
      </c>
      <c r="BCY1" t="s">
        <v>2509</v>
      </c>
      <c r="BCZ1" t="s">
        <v>2013</v>
      </c>
      <c r="BDA1" t="s">
        <v>2014</v>
      </c>
      <c r="BDB1" t="s">
        <v>2015</v>
      </c>
      <c r="BDC1" t="s">
        <v>3006</v>
      </c>
      <c r="BDD1" t="s">
        <v>1298</v>
      </c>
      <c r="BDE1" t="s">
        <v>1299</v>
      </c>
      <c r="BDF1" t="s">
        <v>1300</v>
      </c>
      <c r="BDG1" t="s">
        <v>1301</v>
      </c>
      <c r="BDH1" t="s">
        <v>1302</v>
      </c>
      <c r="BDI1" t="s">
        <v>1303</v>
      </c>
      <c r="BDJ1" t="s">
        <v>1304</v>
      </c>
      <c r="BDK1" t="s">
        <v>2510</v>
      </c>
      <c r="BDL1" t="s">
        <v>2016</v>
      </c>
      <c r="BDM1" t="s">
        <v>2017</v>
      </c>
      <c r="BDN1" t="s">
        <v>2018</v>
      </c>
      <c r="BDO1" t="s">
        <v>3007</v>
      </c>
      <c r="BDP1" t="s">
        <v>1305</v>
      </c>
      <c r="BDQ1" t="s">
        <v>1306</v>
      </c>
      <c r="BDR1" t="s">
        <v>1307</v>
      </c>
      <c r="BDS1" t="s">
        <v>1308</v>
      </c>
      <c r="BDT1" t="s">
        <v>1309</v>
      </c>
      <c r="BDU1" t="s">
        <v>1310</v>
      </c>
      <c r="BDV1" t="s">
        <v>1311</v>
      </c>
      <c r="BDW1" t="s">
        <v>2511</v>
      </c>
      <c r="BDX1" t="s">
        <v>2019</v>
      </c>
      <c r="BDY1" t="s">
        <v>2020</v>
      </c>
      <c r="BDZ1" t="s">
        <v>2021</v>
      </c>
      <c r="BEA1" t="s">
        <v>3008</v>
      </c>
      <c r="BEB1" t="s">
        <v>1312</v>
      </c>
      <c r="BEC1" t="s">
        <v>1313</v>
      </c>
      <c r="BED1" t="s">
        <v>1314</v>
      </c>
      <c r="BEE1" t="s">
        <v>1315</v>
      </c>
      <c r="BEF1" t="s">
        <v>1316</v>
      </c>
      <c r="BEG1" t="s">
        <v>1317</v>
      </c>
      <c r="BEH1" t="s">
        <v>1318</v>
      </c>
      <c r="BEI1" t="s">
        <v>2512</v>
      </c>
      <c r="BEJ1" t="s">
        <v>2022</v>
      </c>
      <c r="BEK1" t="s">
        <v>2023</v>
      </c>
      <c r="BEL1" t="s">
        <v>2024</v>
      </c>
      <c r="BEM1" t="s">
        <v>3009</v>
      </c>
      <c r="BEN1" t="s">
        <v>1319</v>
      </c>
      <c r="BEO1" t="s">
        <v>1320</v>
      </c>
      <c r="BEP1" t="s">
        <v>1321</v>
      </c>
      <c r="BEQ1" t="s">
        <v>1322</v>
      </c>
      <c r="BER1" t="s">
        <v>1323</v>
      </c>
      <c r="BES1" t="s">
        <v>1324</v>
      </c>
      <c r="BET1" t="s">
        <v>1325</v>
      </c>
      <c r="BEU1" t="s">
        <v>2513</v>
      </c>
      <c r="BEV1" t="s">
        <v>2025</v>
      </c>
      <c r="BEW1" t="s">
        <v>2026</v>
      </c>
      <c r="BEX1" t="s">
        <v>2027</v>
      </c>
      <c r="BEY1" t="s">
        <v>3010</v>
      </c>
      <c r="BEZ1" t="s">
        <v>1326</v>
      </c>
      <c r="BFA1" t="s">
        <v>1327</v>
      </c>
      <c r="BFB1" t="s">
        <v>1328</v>
      </c>
      <c r="BFC1" t="s">
        <v>1329</v>
      </c>
      <c r="BFD1" t="s">
        <v>1330</v>
      </c>
      <c r="BFE1" t="s">
        <v>1331</v>
      </c>
      <c r="BFF1" t="s">
        <v>1332</v>
      </c>
      <c r="BFG1" t="s">
        <v>2514</v>
      </c>
      <c r="BFH1" t="s">
        <v>2028</v>
      </c>
      <c r="BFI1" t="s">
        <v>2029</v>
      </c>
      <c r="BFJ1" t="s">
        <v>2030</v>
      </c>
      <c r="BFK1" t="s">
        <v>3011</v>
      </c>
      <c r="BFL1" t="s">
        <v>1333</v>
      </c>
      <c r="BFM1" t="s">
        <v>1334</v>
      </c>
      <c r="BFN1" t="s">
        <v>1335</v>
      </c>
      <c r="BFO1" t="s">
        <v>1336</v>
      </c>
      <c r="BFP1" t="s">
        <v>1337</v>
      </c>
      <c r="BFQ1" t="s">
        <v>1338</v>
      </c>
      <c r="BFR1" t="s">
        <v>1339</v>
      </c>
      <c r="BFS1" t="s">
        <v>2516</v>
      </c>
      <c r="BFT1" t="s">
        <v>2031</v>
      </c>
      <c r="BFU1" t="s">
        <v>2032</v>
      </c>
      <c r="BFV1" t="s">
        <v>2033</v>
      </c>
      <c r="BFW1" t="s">
        <v>3012</v>
      </c>
      <c r="BFX1" t="s">
        <v>1340</v>
      </c>
      <c r="BFY1" t="s">
        <v>1341</v>
      </c>
      <c r="BFZ1" t="s">
        <v>1342</v>
      </c>
      <c r="BGA1" t="s">
        <v>1343</v>
      </c>
      <c r="BGB1" t="s">
        <v>1344</v>
      </c>
      <c r="BGC1" t="s">
        <v>1345</v>
      </c>
      <c r="BGD1" t="s">
        <v>1346</v>
      </c>
      <c r="BGE1" t="s">
        <v>2517</v>
      </c>
      <c r="BGF1" t="s">
        <v>2034</v>
      </c>
      <c r="BGG1" t="s">
        <v>2035</v>
      </c>
      <c r="BGH1" t="s">
        <v>2036</v>
      </c>
      <c r="BGI1" t="s">
        <v>3013</v>
      </c>
      <c r="BGJ1" t="s">
        <v>1347</v>
      </c>
      <c r="BGK1" t="s">
        <v>1348</v>
      </c>
      <c r="BGL1" t="s">
        <v>1349</v>
      </c>
      <c r="BGM1" t="s">
        <v>1350</v>
      </c>
      <c r="BGN1" t="s">
        <v>1351</v>
      </c>
      <c r="BGO1" t="s">
        <v>1352</v>
      </c>
      <c r="BGP1" t="s">
        <v>1353</v>
      </c>
      <c r="BGQ1" t="s">
        <v>2518</v>
      </c>
      <c r="BGR1" t="s">
        <v>2037</v>
      </c>
      <c r="BGS1" t="s">
        <v>2038</v>
      </c>
      <c r="BGT1" t="s">
        <v>2039</v>
      </c>
      <c r="BGU1" t="s">
        <v>3014</v>
      </c>
      <c r="BGV1" t="s">
        <v>1354</v>
      </c>
      <c r="BGW1" t="s">
        <v>1355</v>
      </c>
      <c r="BGX1" t="s">
        <v>1356</v>
      </c>
      <c r="BGY1" t="s">
        <v>1357</v>
      </c>
      <c r="BGZ1" t="s">
        <v>1358</v>
      </c>
      <c r="BHA1" t="s">
        <v>1359</v>
      </c>
      <c r="BHB1" t="s">
        <v>1360</v>
      </c>
      <c r="BHC1" t="s">
        <v>2523</v>
      </c>
      <c r="BHD1" t="s">
        <v>2040</v>
      </c>
      <c r="BHE1" t="s">
        <v>2041</v>
      </c>
      <c r="BHF1" t="s">
        <v>2042</v>
      </c>
      <c r="BHG1" t="s">
        <v>3015</v>
      </c>
      <c r="BHH1" t="s">
        <v>1361</v>
      </c>
      <c r="BHI1" t="s">
        <v>1362</v>
      </c>
      <c r="BHJ1" t="s">
        <v>1363</v>
      </c>
      <c r="BHK1" t="s">
        <v>1364</v>
      </c>
      <c r="BHL1" t="s">
        <v>1365</v>
      </c>
      <c r="BHM1" t="s">
        <v>1366</v>
      </c>
      <c r="BHN1" t="s">
        <v>1367</v>
      </c>
      <c r="BHO1" t="s">
        <v>2524</v>
      </c>
      <c r="BHP1" t="s">
        <v>2043</v>
      </c>
      <c r="BHQ1" t="s">
        <v>2044</v>
      </c>
      <c r="BHR1" t="s">
        <v>2045</v>
      </c>
      <c r="BHS1" t="s">
        <v>3016</v>
      </c>
      <c r="BHT1" t="s">
        <v>1368</v>
      </c>
      <c r="BHU1" t="s">
        <v>1369</v>
      </c>
      <c r="BHV1" t="s">
        <v>1370</v>
      </c>
      <c r="BHW1" t="s">
        <v>1371</v>
      </c>
      <c r="BHX1" t="s">
        <v>1372</v>
      </c>
      <c r="BHY1" t="s">
        <v>1373</v>
      </c>
      <c r="BHZ1" t="s">
        <v>1374</v>
      </c>
      <c r="BIA1" t="s">
        <v>2530</v>
      </c>
      <c r="BIB1" t="s">
        <v>2046</v>
      </c>
      <c r="BIC1" t="s">
        <v>2047</v>
      </c>
      <c r="BID1" t="s">
        <v>2048</v>
      </c>
      <c r="BIE1" t="s">
        <v>3017</v>
      </c>
      <c r="BIF1" t="s">
        <v>1375</v>
      </c>
      <c r="BIG1" t="s">
        <v>1376</v>
      </c>
      <c r="BIH1" t="s">
        <v>1377</v>
      </c>
      <c r="BII1" t="s">
        <v>1378</v>
      </c>
      <c r="BIJ1" t="s">
        <v>1379</v>
      </c>
      <c r="BIK1" t="s">
        <v>1380</v>
      </c>
      <c r="BIL1" t="s">
        <v>1381</v>
      </c>
      <c r="BIM1" t="s">
        <v>2531</v>
      </c>
      <c r="BIN1" t="s">
        <v>2049</v>
      </c>
      <c r="BIO1" t="s">
        <v>2050</v>
      </c>
      <c r="BIP1" t="s">
        <v>2051</v>
      </c>
      <c r="BIQ1" t="s">
        <v>3018</v>
      </c>
      <c r="BIR1" t="s">
        <v>1382</v>
      </c>
      <c r="BIS1" t="s">
        <v>1383</v>
      </c>
      <c r="BIT1" t="s">
        <v>1384</v>
      </c>
      <c r="BIU1" t="s">
        <v>1385</v>
      </c>
      <c r="BIV1" t="s">
        <v>1386</v>
      </c>
      <c r="BIW1" t="s">
        <v>1387</v>
      </c>
      <c r="BIX1" t="s">
        <v>1388</v>
      </c>
      <c r="BIY1" t="s">
        <v>2532</v>
      </c>
      <c r="BIZ1" t="s">
        <v>2052</v>
      </c>
      <c r="BJA1" t="s">
        <v>2053</v>
      </c>
      <c r="BJB1" t="s">
        <v>2054</v>
      </c>
      <c r="BJC1" t="s">
        <v>3019</v>
      </c>
      <c r="BJD1" t="s">
        <v>1389</v>
      </c>
      <c r="BJE1" t="s">
        <v>1390</v>
      </c>
      <c r="BJF1" t="s">
        <v>1391</v>
      </c>
      <c r="BJG1" t="s">
        <v>1392</v>
      </c>
      <c r="BJH1" t="s">
        <v>1393</v>
      </c>
      <c r="BJI1" t="s">
        <v>1394</v>
      </c>
      <c r="BJJ1" t="s">
        <v>1395</v>
      </c>
      <c r="BJK1" t="s">
        <v>2533</v>
      </c>
      <c r="BJL1" t="s">
        <v>2055</v>
      </c>
      <c r="BJM1" t="s">
        <v>2056</v>
      </c>
      <c r="BJN1" t="s">
        <v>2057</v>
      </c>
      <c r="BJO1" t="s">
        <v>3020</v>
      </c>
      <c r="BJP1" t="s">
        <v>1396</v>
      </c>
      <c r="BJQ1" t="s">
        <v>1397</v>
      </c>
      <c r="BJR1" t="s">
        <v>1398</v>
      </c>
      <c r="BJS1" t="s">
        <v>1399</v>
      </c>
      <c r="BJT1" t="s">
        <v>1400</v>
      </c>
      <c r="BJU1" t="s">
        <v>1401</v>
      </c>
      <c r="BJV1" t="s">
        <v>1402</v>
      </c>
      <c r="BJW1" t="s">
        <v>2534</v>
      </c>
      <c r="BJX1" t="s">
        <v>2058</v>
      </c>
      <c r="BJY1" t="s">
        <v>2059</v>
      </c>
      <c r="BJZ1" t="s">
        <v>2060</v>
      </c>
      <c r="BKA1" t="s">
        <v>3021</v>
      </c>
      <c r="BKB1" t="s">
        <v>1403</v>
      </c>
      <c r="BKC1" t="s">
        <v>1404</v>
      </c>
      <c r="BKD1" t="s">
        <v>1405</v>
      </c>
      <c r="BKE1" t="s">
        <v>1406</v>
      </c>
      <c r="BKF1" t="s">
        <v>1407</v>
      </c>
      <c r="BKG1" t="s">
        <v>1408</v>
      </c>
      <c r="BKH1" t="s">
        <v>1409</v>
      </c>
      <c r="BKI1" t="s">
        <v>2539</v>
      </c>
      <c r="BKJ1" t="s">
        <v>2061</v>
      </c>
      <c r="BKK1" t="s">
        <v>2062</v>
      </c>
      <c r="BKL1" t="s">
        <v>2063</v>
      </c>
      <c r="BKM1" t="s">
        <v>3022</v>
      </c>
      <c r="BKN1" t="s">
        <v>1410</v>
      </c>
      <c r="BKO1" t="s">
        <v>1411</v>
      </c>
      <c r="BKP1" t="s">
        <v>1412</v>
      </c>
      <c r="BKQ1" t="s">
        <v>1413</v>
      </c>
      <c r="BKR1" t="s">
        <v>1414</v>
      </c>
      <c r="BKS1" t="s">
        <v>1415</v>
      </c>
      <c r="BKT1" t="s">
        <v>1416</v>
      </c>
      <c r="BKU1" t="s">
        <v>2540</v>
      </c>
      <c r="BKV1" t="s">
        <v>2064</v>
      </c>
      <c r="BKW1" t="s">
        <v>2065</v>
      </c>
      <c r="BKX1" t="s">
        <v>2066</v>
      </c>
      <c r="BKY1" t="s">
        <v>3023</v>
      </c>
      <c r="BKZ1" t="s">
        <v>1417</v>
      </c>
      <c r="BLA1" t="s">
        <v>1418</v>
      </c>
      <c r="BLB1" t="s">
        <v>1419</v>
      </c>
      <c r="BLC1" t="s">
        <v>1420</v>
      </c>
      <c r="BLD1" t="s">
        <v>1421</v>
      </c>
      <c r="BLE1" t="s">
        <v>1422</v>
      </c>
      <c r="BLF1" t="s">
        <v>1423</v>
      </c>
      <c r="BLG1" t="s">
        <v>2541</v>
      </c>
      <c r="BLH1" t="s">
        <v>2067</v>
      </c>
      <c r="BLI1" t="s">
        <v>2068</v>
      </c>
      <c r="BLJ1" t="s">
        <v>2069</v>
      </c>
      <c r="BLK1" t="s">
        <v>3024</v>
      </c>
      <c r="BLL1" t="s">
        <v>1424</v>
      </c>
      <c r="BLM1" t="s">
        <v>1425</v>
      </c>
      <c r="BLN1" t="s">
        <v>1426</v>
      </c>
      <c r="BLO1" t="s">
        <v>1427</v>
      </c>
      <c r="BLP1" t="s">
        <v>1428</v>
      </c>
      <c r="BLQ1" t="s">
        <v>1429</v>
      </c>
      <c r="BLR1" t="s">
        <v>1430</v>
      </c>
      <c r="BLS1" t="s">
        <v>2542</v>
      </c>
      <c r="BLT1" t="s">
        <v>2070</v>
      </c>
      <c r="BLU1" t="s">
        <v>2071</v>
      </c>
      <c r="BLV1" t="s">
        <v>2072</v>
      </c>
      <c r="BLW1" t="s">
        <v>3025</v>
      </c>
      <c r="BLX1" t="s">
        <v>1431</v>
      </c>
      <c r="BLY1" t="s">
        <v>1432</v>
      </c>
      <c r="BLZ1" t="s">
        <v>1433</v>
      </c>
      <c r="BMA1" t="s">
        <v>1434</v>
      </c>
      <c r="BMB1" t="s">
        <v>1435</v>
      </c>
      <c r="BMC1" t="s">
        <v>1436</v>
      </c>
      <c r="BMD1" t="s">
        <v>1437</v>
      </c>
      <c r="BME1" t="s">
        <v>2543</v>
      </c>
      <c r="BMF1" t="s">
        <v>2073</v>
      </c>
      <c r="BMG1" t="s">
        <v>2074</v>
      </c>
      <c r="BMH1" t="s">
        <v>2075</v>
      </c>
      <c r="BMI1" t="s">
        <v>3026</v>
      </c>
      <c r="BMJ1" t="s">
        <v>1438</v>
      </c>
      <c r="BMK1" t="s">
        <v>1439</v>
      </c>
      <c r="BML1" t="s">
        <v>1440</v>
      </c>
      <c r="BMM1" t="s">
        <v>1441</v>
      </c>
      <c r="BMN1" t="s">
        <v>1442</v>
      </c>
      <c r="BMO1" t="s">
        <v>1443</v>
      </c>
      <c r="BMP1" t="s">
        <v>1444</v>
      </c>
      <c r="BMQ1" t="s">
        <v>2544</v>
      </c>
      <c r="BMR1" t="s">
        <v>2076</v>
      </c>
      <c r="BMS1" t="s">
        <v>2077</v>
      </c>
      <c r="BMT1" t="s">
        <v>2078</v>
      </c>
      <c r="BMU1" t="s">
        <v>3027</v>
      </c>
      <c r="BMV1" t="s">
        <v>1445</v>
      </c>
      <c r="BMW1" t="s">
        <v>1446</v>
      </c>
      <c r="BMX1" t="s">
        <v>1447</v>
      </c>
      <c r="BMY1" t="s">
        <v>1448</v>
      </c>
      <c r="BMZ1" t="s">
        <v>1449</v>
      </c>
      <c r="BNA1" t="s">
        <v>1450</v>
      </c>
      <c r="BNB1" t="s">
        <v>1451</v>
      </c>
      <c r="BNC1" t="s">
        <v>2545</v>
      </c>
      <c r="BND1" t="s">
        <v>2079</v>
      </c>
      <c r="BNE1" t="s">
        <v>2080</v>
      </c>
      <c r="BNF1" t="s">
        <v>2081</v>
      </c>
      <c r="BNG1" t="s">
        <v>3028</v>
      </c>
      <c r="BNH1" t="s">
        <v>1452</v>
      </c>
      <c r="BNI1" t="s">
        <v>1453</v>
      </c>
      <c r="BNJ1" t="s">
        <v>1454</v>
      </c>
      <c r="BNK1" t="s">
        <v>1455</v>
      </c>
      <c r="BNL1" t="s">
        <v>1456</v>
      </c>
      <c r="BNM1" t="s">
        <v>1457</v>
      </c>
      <c r="BNN1" t="s">
        <v>1458</v>
      </c>
      <c r="BNO1" t="s">
        <v>2547</v>
      </c>
      <c r="BNP1" t="s">
        <v>2082</v>
      </c>
      <c r="BNQ1" t="s">
        <v>2083</v>
      </c>
      <c r="BNR1" t="s">
        <v>2084</v>
      </c>
      <c r="BNS1" t="s">
        <v>3029</v>
      </c>
      <c r="BNT1" t="s">
        <v>1459</v>
      </c>
      <c r="BNU1" t="s">
        <v>1460</v>
      </c>
      <c r="BNV1" t="s">
        <v>1461</v>
      </c>
      <c r="BNW1" t="s">
        <v>1462</v>
      </c>
      <c r="BNX1" t="s">
        <v>1463</v>
      </c>
      <c r="BNY1" t="s">
        <v>1464</v>
      </c>
      <c r="BNZ1" t="s">
        <v>1465</v>
      </c>
      <c r="BOA1" t="s">
        <v>2548</v>
      </c>
      <c r="BOB1" t="s">
        <v>2085</v>
      </c>
      <c r="BOC1" t="s">
        <v>2086</v>
      </c>
      <c r="BOD1" t="s">
        <v>2087</v>
      </c>
      <c r="BOE1" t="s">
        <v>3030</v>
      </c>
      <c r="BOF1" t="s">
        <v>1466</v>
      </c>
      <c r="BOG1" t="s">
        <v>1467</v>
      </c>
      <c r="BOH1" t="s">
        <v>1468</v>
      </c>
      <c r="BOI1" t="s">
        <v>1469</v>
      </c>
      <c r="BOJ1" t="s">
        <v>1470</v>
      </c>
      <c r="BOK1" t="s">
        <v>1471</v>
      </c>
      <c r="BOL1" t="s">
        <v>1472</v>
      </c>
      <c r="BOM1" t="s">
        <v>2549</v>
      </c>
      <c r="BON1" t="s">
        <v>2088</v>
      </c>
      <c r="BOO1" t="s">
        <v>2089</v>
      </c>
      <c r="BOP1" t="s">
        <v>2090</v>
      </c>
      <c r="BOQ1" t="s">
        <v>3031</v>
      </c>
      <c r="BOR1" t="s">
        <v>1473</v>
      </c>
      <c r="BOS1" t="s">
        <v>1474</v>
      </c>
      <c r="BOT1" t="s">
        <v>1475</v>
      </c>
      <c r="BOU1" t="s">
        <v>1476</v>
      </c>
      <c r="BOV1" t="s">
        <v>1477</v>
      </c>
      <c r="BOW1" t="s">
        <v>1478</v>
      </c>
      <c r="BOX1" t="s">
        <v>1479</v>
      </c>
      <c r="BOY1" t="s">
        <v>2550</v>
      </c>
      <c r="BOZ1" t="s">
        <v>2091</v>
      </c>
      <c r="BPA1" t="s">
        <v>2092</v>
      </c>
      <c r="BPB1" t="s">
        <v>2093</v>
      </c>
      <c r="BPC1" t="s">
        <v>3032</v>
      </c>
      <c r="BPD1" t="s">
        <v>1480</v>
      </c>
      <c r="BPE1" t="s">
        <v>1481</v>
      </c>
      <c r="BPF1" t="s">
        <v>1482</v>
      </c>
      <c r="BPG1" t="s">
        <v>1483</v>
      </c>
      <c r="BPH1" t="s">
        <v>1484</v>
      </c>
      <c r="BPI1" t="s">
        <v>1485</v>
      </c>
      <c r="BPJ1" t="s">
        <v>1486</v>
      </c>
      <c r="BPK1" t="s">
        <v>2551</v>
      </c>
      <c r="BPL1" t="s">
        <v>2094</v>
      </c>
      <c r="BPM1" t="s">
        <v>2095</v>
      </c>
      <c r="BPN1" t="s">
        <v>2096</v>
      </c>
      <c r="BPO1" t="s">
        <v>3033</v>
      </c>
      <c r="BPP1" t="s">
        <v>1487</v>
      </c>
      <c r="BPQ1" t="s">
        <v>1488</v>
      </c>
      <c r="BPR1" t="s">
        <v>1489</v>
      </c>
      <c r="BPS1" t="s">
        <v>1490</v>
      </c>
      <c r="BPT1" t="s">
        <v>1491</v>
      </c>
      <c r="BPU1" t="s">
        <v>1492</v>
      </c>
      <c r="BPV1" t="s">
        <v>1493</v>
      </c>
      <c r="BPW1" t="s">
        <v>2552</v>
      </c>
      <c r="BPX1" t="s">
        <v>2097</v>
      </c>
      <c r="BPY1" t="s">
        <v>2098</v>
      </c>
      <c r="BPZ1" t="s">
        <v>2099</v>
      </c>
      <c r="BQA1" t="s">
        <v>3034</v>
      </c>
      <c r="BQB1" t="s">
        <v>1494</v>
      </c>
      <c r="BQC1" t="s">
        <v>1495</v>
      </c>
      <c r="BQD1" t="s">
        <v>1496</v>
      </c>
      <c r="BQE1" t="s">
        <v>1497</v>
      </c>
      <c r="BQF1" t="s">
        <v>1498</v>
      </c>
      <c r="BQG1" t="s">
        <v>1499</v>
      </c>
      <c r="BQH1" t="s">
        <v>1500</v>
      </c>
      <c r="BQI1" t="s">
        <v>2553</v>
      </c>
      <c r="BQJ1" t="s">
        <v>2100</v>
      </c>
      <c r="BQK1" t="s">
        <v>2101</v>
      </c>
      <c r="BQL1" t="s">
        <v>2102</v>
      </c>
      <c r="BQM1" t="s">
        <v>3035</v>
      </c>
      <c r="BQN1" t="s">
        <v>1501</v>
      </c>
      <c r="BQO1" t="s">
        <v>1502</v>
      </c>
      <c r="BQP1" t="s">
        <v>1503</v>
      </c>
      <c r="BQQ1" t="s">
        <v>1504</v>
      </c>
      <c r="BQR1" t="s">
        <v>1505</v>
      </c>
      <c r="BQS1" t="s">
        <v>1506</v>
      </c>
      <c r="BQT1" t="s">
        <v>1507</v>
      </c>
      <c r="BQU1" t="s">
        <v>2555</v>
      </c>
      <c r="BQV1" t="s">
        <v>2103</v>
      </c>
      <c r="BQW1" t="s">
        <v>2104</v>
      </c>
      <c r="BQX1" t="s">
        <v>2105</v>
      </c>
      <c r="BQY1" t="s">
        <v>3036</v>
      </c>
      <c r="BQZ1" t="s">
        <v>1508</v>
      </c>
      <c r="BRA1" t="s">
        <v>1509</v>
      </c>
      <c r="BRB1" t="s">
        <v>1510</v>
      </c>
      <c r="BRC1" t="s">
        <v>1511</v>
      </c>
      <c r="BRD1" t="s">
        <v>1512</v>
      </c>
      <c r="BRE1" t="s">
        <v>1513</v>
      </c>
      <c r="BRF1" t="s">
        <v>1514</v>
      </c>
      <c r="BRG1" t="s">
        <v>2556</v>
      </c>
      <c r="BRH1" t="s">
        <v>2106</v>
      </c>
      <c r="BRI1" t="s">
        <v>2107</v>
      </c>
      <c r="BRJ1" t="s">
        <v>2108</v>
      </c>
      <c r="BRK1" t="s">
        <v>3037</v>
      </c>
      <c r="BRL1" t="s">
        <v>1515</v>
      </c>
      <c r="BRM1" t="s">
        <v>1516</v>
      </c>
      <c r="BRN1" t="s">
        <v>1517</v>
      </c>
      <c r="BRO1" t="s">
        <v>1518</v>
      </c>
      <c r="BRP1" t="s">
        <v>1519</v>
      </c>
      <c r="BRQ1" t="s">
        <v>1520</v>
      </c>
      <c r="BRR1" t="s">
        <v>1521</v>
      </c>
      <c r="BRS1" t="s">
        <v>2558</v>
      </c>
      <c r="BRT1" t="s">
        <v>2109</v>
      </c>
      <c r="BRU1" t="s">
        <v>2110</v>
      </c>
      <c r="BRV1" t="s">
        <v>2111</v>
      </c>
      <c r="BRW1" t="s">
        <v>3038</v>
      </c>
      <c r="BRX1" t="s">
        <v>1522</v>
      </c>
      <c r="BRY1" t="s">
        <v>1523</v>
      </c>
      <c r="BRZ1" t="s">
        <v>1524</v>
      </c>
      <c r="BSA1" t="s">
        <v>1525</v>
      </c>
      <c r="BSB1" t="s">
        <v>1526</v>
      </c>
      <c r="BSC1" t="s">
        <v>1527</v>
      </c>
      <c r="BSD1" t="s">
        <v>1528</v>
      </c>
      <c r="BSE1" t="s">
        <v>2559</v>
      </c>
      <c r="BSF1" t="s">
        <v>2112</v>
      </c>
      <c r="BSG1" t="s">
        <v>2113</v>
      </c>
      <c r="BSH1" t="s">
        <v>2114</v>
      </c>
      <c r="BSI1" t="s">
        <v>3039</v>
      </c>
      <c r="BSJ1" t="s">
        <v>1529</v>
      </c>
      <c r="BSK1" t="s">
        <v>1530</v>
      </c>
      <c r="BSL1" t="s">
        <v>1531</v>
      </c>
      <c r="BSM1" t="s">
        <v>1532</v>
      </c>
      <c r="BSN1" t="s">
        <v>1533</v>
      </c>
      <c r="BSO1" t="s">
        <v>1534</v>
      </c>
      <c r="BSP1" t="s">
        <v>1535</v>
      </c>
      <c r="BSQ1" t="s">
        <v>2560</v>
      </c>
      <c r="BSR1" t="s">
        <v>2115</v>
      </c>
      <c r="BSS1" t="s">
        <v>2116</v>
      </c>
      <c r="BST1" t="s">
        <v>2117</v>
      </c>
      <c r="BSU1" t="s">
        <v>3040</v>
      </c>
      <c r="BSV1" t="s">
        <v>1536</v>
      </c>
      <c r="BSW1" t="s">
        <v>1537</v>
      </c>
      <c r="BSX1" t="s">
        <v>1538</v>
      </c>
      <c r="BSY1" t="s">
        <v>1539</v>
      </c>
      <c r="BSZ1" t="s">
        <v>1540</v>
      </c>
      <c r="BTA1" t="s">
        <v>1541</v>
      </c>
      <c r="BTB1" t="s">
        <v>1542</v>
      </c>
      <c r="BTC1" t="s">
        <v>2561</v>
      </c>
      <c r="BTD1" t="s">
        <v>2118</v>
      </c>
      <c r="BTE1" t="s">
        <v>2119</v>
      </c>
      <c r="BTF1" t="s">
        <v>2120</v>
      </c>
      <c r="BTG1" t="s">
        <v>3041</v>
      </c>
      <c r="BTH1" t="s">
        <v>1543</v>
      </c>
      <c r="BTI1" t="s">
        <v>1544</v>
      </c>
      <c r="BTJ1" t="s">
        <v>1545</v>
      </c>
      <c r="BTK1" t="s">
        <v>1546</v>
      </c>
      <c r="BTL1" t="s">
        <v>1547</v>
      </c>
      <c r="BTM1" t="s">
        <v>1548</v>
      </c>
      <c r="BTN1" t="s">
        <v>1549</v>
      </c>
      <c r="BTO1" t="s">
        <v>2562</v>
      </c>
      <c r="BTP1" t="s">
        <v>2121</v>
      </c>
      <c r="BTQ1" t="s">
        <v>2122</v>
      </c>
      <c r="BTR1" t="s">
        <v>2123</v>
      </c>
      <c r="BTS1" t="s">
        <v>3042</v>
      </c>
      <c r="BTT1" t="s">
        <v>1550</v>
      </c>
      <c r="BTU1" t="s">
        <v>1551</v>
      </c>
      <c r="BTV1" t="s">
        <v>1552</v>
      </c>
      <c r="BTW1" t="s">
        <v>1553</v>
      </c>
      <c r="BTX1" t="s">
        <v>1554</v>
      </c>
      <c r="BTY1" t="s">
        <v>1555</v>
      </c>
      <c r="BTZ1" t="s">
        <v>1556</v>
      </c>
      <c r="BUA1" t="s">
        <v>2564</v>
      </c>
      <c r="BUB1" t="s">
        <v>2124</v>
      </c>
      <c r="BUC1" t="s">
        <v>2125</v>
      </c>
      <c r="BUD1" t="s">
        <v>2126</v>
      </c>
      <c r="BUE1" t="s">
        <v>3043</v>
      </c>
      <c r="BUF1" t="s">
        <v>1557</v>
      </c>
      <c r="BUG1" t="s">
        <v>1558</v>
      </c>
      <c r="BUH1" t="s">
        <v>1559</v>
      </c>
      <c r="BUI1" t="s">
        <v>1560</v>
      </c>
      <c r="BUJ1" t="s">
        <v>1561</v>
      </c>
      <c r="BUK1" t="s">
        <v>1562</v>
      </c>
      <c r="BUL1" t="s">
        <v>1563</v>
      </c>
      <c r="BUM1" t="s">
        <v>2565</v>
      </c>
      <c r="BUN1" t="s">
        <v>2127</v>
      </c>
      <c r="BUO1" t="s">
        <v>2128</v>
      </c>
      <c r="BUP1" t="s">
        <v>2129</v>
      </c>
      <c r="BUQ1" t="s">
        <v>3044</v>
      </c>
      <c r="BUR1" t="s">
        <v>1564</v>
      </c>
      <c r="BUS1" t="s">
        <v>1565</v>
      </c>
      <c r="BUT1" t="s">
        <v>1566</v>
      </c>
      <c r="BUU1" t="s">
        <v>1567</v>
      </c>
      <c r="BUV1" t="s">
        <v>1568</v>
      </c>
      <c r="BUW1" t="s">
        <v>1569</v>
      </c>
      <c r="BUX1" t="s">
        <v>1570</v>
      </c>
      <c r="BUY1" t="s">
        <v>2566</v>
      </c>
      <c r="BUZ1" t="s">
        <v>2130</v>
      </c>
      <c r="BVA1" t="s">
        <v>2131</v>
      </c>
      <c r="BVB1" t="s">
        <v>2132</v>
      </c>
      <c r="BVC1" t="s">
        <v>3045</v>
      </c>
      <c r="BVD1" t="s">
        <v>1571</v>
      </c>
      <c r="BVE1" t="s">
        <v>1572</v>
      </c>
      <c r="BVF1" t="s">
        <v>1573</v>
      </c>
      <c r="BVG1" t="s">
        <v>1574</v>
      </c>
      <c r="BVH1" t="s">
        <v>1575</v>
      </c>
      <c r="BVI1" t="s">
        <v>1576</v>
      </c>
      <c r="BVJ1" t="s">
        <v>1577</v>
      </c>
      <c r="BVK1" t="s">
        <v>2567</v>
      </c>
      <c r="BVL1" t="s">
        <v>2133</v>
      </c>
      <c r="BVM1" t="s">
        <v>2134</v>
      </c>
      <c r="BVN1" t="s">
        <v>2135</v>
      </c>
      <c r="BVO1" t="s">
        <v>3046</v>
      </c>
      <c r="BVP1" t="s">
        <v>1578</v>
      </c>
      <c r="BVQ1" t="s">
        <v>1579</v>
      </c>
      <c r="BVR1" t="s">
        <v>1580</v>
      </c>
      <c r="BVS1" t="s">
        <v>1581</v>
      </c>
      <c r="BVT1" t="s">
        <v>1582</v>
      </c>
      <c r="BVU1" t="s">
        <v>1583</v>
      </c>
      <c r="BVV1" t="s">
        <v>1584</v>
      </c>
      <c r="BVW1" t="s">
        <v>2568</v>
      </c>
      <c r="BVX1" t="s">
        <v>2136</v>
      </c>
      <c r="BVY1" t="s">
        <v>2137</v>
      </c>
      <c r="BVZ1" t="s">
        <v>2138</v>
      </c>
      <c r="BWA1" t="s">
        <v>3047</v>
      </c>
      <c r="BWB1" t="s">
        <v>1585</v>
      </c>
      <c r="BWC1" t="s">
        <v>1586</v>
      </c>
      <c r="BWD1" t="s">
        <v>1587</v>
      </c>
      <c r="BWE1" t="s">
        <v>1588</v>
      </c>
      <c r="BWF1" t="s">
        <v>1589</v>
      </c>
      <c r="BWG1" t="s">
        <v>1590</v>
      </c>
      <c r="BWH1" t="s">
        <v>1591</v>
      </c>
      <c r="BWI1" t="s">
        <v>2569</v>
      </c>
      <c r="BWJ1" t="s">
        <v>2139</v>
      </c>
      <c r="BWK1" t="s">
        <v>2140</v>
      </c>
      <c r="BWL1" t="s">
        <v>2141</v>
      </c>
      <c r="BWM1" t="s">
        <v>3048</v>
      </c>
      <c r="BWN1" t="s">
        <v>1592</v>
      </c>
      <c r="BWO1" t="s">
        <v>1593</v>
      </c>
      <c r="BWP1" t="s">
        <v>1594</v>
      </c>
      <c r="BWQ1" t="s">
        <v>1595</v>
      </c>
      <c r="BWR1" t="s">
        <v>1596</v>
      </c>
      <c r="BWS1" t="s">
        <v>1597</v>
      </c>
      <c r="BWT1" t="s">
        <v>1598</v>
      </c>
      <c r="BWU1" t="s">
        <v>2570</v>
      </c>
      <c r="BWV1" t="s">
        <v>2142</v>
      </c>
      <c r="BWW1" t="s">
        <v>2143</v>
      </c>
      <c r="BWX1" t="s">
        <v>2144</v>
      </c>
      <c r="BWY1" t="s">
        <v>3049</v>
      </c>
      <c r="BWZ1" t="s">
        <v>1599</v>
      </c>
      <c r="BXA1" t="s">
        <v>1600</v>
      </c>
      <c r="BXB1" t="s">
        <v>1601</v>
      </c>
      <c r="BXC1" t="s">
        <v>1602</v>
      </c>
      <c r="BXD1" t="s">
        <v>1603</v>
      </c>
      <c r="BXE1" t="s">
        <v>1604</v>
      </c>
      <c r="BXF1" t="s">
        <v>1605</v>
      </c>
      <c r="BXG1" t="s">
        <v>2571</v>
      </c>
      <c r="BXH1" t="s">
        <v>2145</v>
      </c>
      <c r="BXI1" t="s">
        <v>2146</v>
      </c>
      <c r="BXJ1" t="s">
        <v>2147</v>
      </c>
      <c r="BXK1" t="s">
        <v>3050</v>
      </c>
      <c r="BXL1" t="s">
        <v>1606</v>
      </c>
      <c r="BXM1" t="s">
        <v>1607</v>
      </c>
      <c r="BXN1" t="s">
        <v>1608</v>
      </c>
      <c r="BXO1" t="s">
        <v>1609</v>
      </c>
      <c r="BXP1" t="s">
        <v>1610</v>
      </c>
      <c r="BXQ1" t="s">
        <v>1611</v>
      </c>
      <c r="BXR1" t="s">
        <v>1612</v>
      </c>
      <c r="BXS1" t="s">
        <v>2572</v>
      </c>
      <c r="BXT1" t="s">
        <v>2148</v>
      </c>
      <c r="BXU1" t="s">
        <v>2149</v>
      </c>
      <c r="BXV1" t="s">
        <v>2150</v>
      </c>
      <c r="BXW1" t="s">
        <v>3051</v>
      </c>
      <c r="BXX1" t="s">
        <v>1613</v>
      </c>
      <c r="BXY1" t="s">
        <v>1614</v>
      </c>
      <c r="BXZ1" t="s">
        <v>1615</v>
      </c>
      <c r="BYA1" t="s">
        <v>1616</v>
      </c>
      <c r="BYB1" t="s">
        <v>1617</v>
      </c>
      <c r="BYC1" t="s">
        <v>1618</v>
      </c>
      <c r="BYD1" t="s">
        <v>1619</v>
      </c>
      <c r="BYE1" t="s">
        <v>2573</v>
      </c>
      <c r="BYF1" t="s">
        <v>2151</v>
      </c>
      <c r="BYG1" t="s">
        <v>2152</v>
      </c>
      <c r="BYH1" t="s">
        <v>2153</v>
      </c>
      <c r="BYI1" t="s">
        <v>3052</v>
      </c>
      <c r="BYJ1" t="s">
        <v>1620</v>
      </c>
      <c r="BYK1" t="s">
        <v>1621</v>
      </c>
      <c r="BYL1" t="s">
        <v>1622</v>
      </c>
      <c r="BYM1" t="s">
        <v>1623</v>
      </c>
      <c r="BYN1" t="s">
        <v>1624</v>
      </c>
      <c r="BYO1" t="s">
        <v>1625</v>
      </c>
      <c r="BYP1" t="s">
        <v>1626</v>
      </c>
      <c r="BYQ1" t="s">
        <v>2574</v>
      </c>
      <c r="BYR1" t="s">
        <v>2154</v>
      </c>
      <c r="BYS1" t="s">
        <v>2155</v>
      </c>
      <c r="BYT1" t="s">
        <v>2156</v>
      </c>
      <c r="BYU1" t="s">
        <v>3053</v>
      </c>
      <c r="BYV1" t="s">
        <v>1627</v>
      </c>
      <c r="BYW1" t="s">
        <v>1628</v>
      </c>
      <c r="BYX1" t="s">
        <v>1629</v>
      </c>
      <c r="BYY1" t="s">
        <v>1630</v>
      </c>
      <c r="BYZ1" t="s">
        <v>1631</v>
      </c>
      <c r="BZA1" t="s">
        <v>1632</v>
      </c>
      <c r="BZB1" t="s">
        <v>1633</v>
      </c>
      <c r="BZC1" t="s">
        <v>2575</v>
      </c>
      <c r="BZD1" t="s">
        <v>2157</v>
      </c>
      <c r="BZE1" t="s">
        <v>2158</v>
      </c>
      <c r="BZF1" t="s">
        <v>2159</v>
      </c>
      <c r="BZG1" t="s">
        <v>3054</v>
      </c>
      <c r="BZH1" t="s">
        <v>1634</v>
      </c>
      <c r="BZI1" t="s">
        <v>1635</v>
      </c>
      <c r="BZJ1" t="s">
        <v>1636</v>
      </c>
      <c r="BZK1" t="s">
        <v>1637</v>
      </c>
      <c r="BZL1" t="s">
        <v>1638</v>
      </c>
      <c r="BZM1" t="s">
        <v>1639</v>
      </c>
      <c r="BZN1" t="s">
        <v>1640</v>
      </c>
      <c r="BZO1" t="s">
        <v>2576</v>
      </c>
      <c r="BZP1" t="s">
        <v>2160</v>
      </c>
      <c r="BZQ1" t="s">
        <v>2161</v>
      </c>
      <c r="BZR1" t="s">
        <v>2162</v>
      </c>
      <c r="BZS1" t="s">
        <v>3055</v>
      </c>
      <c r="BZT1" t="s">
        <v>1641</v>
      </c>
      <c r="BZU1" t="s">
        <v>1642</v>
      </c>
      <c r="BZV1" t="s">
        <v>1643</v>
      </c>
      <c r="BZW1" t="s">
        <v>1644</v>
      </c>
      <c r="BZX1" t="s">
        <v>1645</v>
      </c>
      <c r="BZY1" t="s">
        <v>1646</v>
      </c>
      <c r="BZZ1" t="s">
        <v>1647</v>
      </c>
      <c r="CAA1" t="s">
        <v>2577</v>
      </c>
      <c r="CAB1" t="s">
        <v>2163</v>
      </c>
      <c r="CAC1" t="s">
        <v>2164</v>
      </c>
      <c r="CAD1" t="s">
        <v>2165</v>
      </c>
      <c r="CAE1" t="s">
        <v>3056</v>
      </c>
      <c r="CAF1" t="s">
        <v>1648</v>
      </c>
      <c r="CAG1" t="s">
        <v>1649</v>
      </c>
      <c r="CAH1" t="s">
        <v>1650</v>
      </c>
      <c r="CAI1" t="s">
        <v>1651</v>
      </c>
      <c r="CAJ1" t="s">
        <v>1652</v>
      </c>
      <c r="CAK1" t="s">
        <v>1653</v>
      </c>
      <c r="CAL1" t="s">
        <v>1654</v>
      </c>
      <c r="CAM1" t="s">
        <v>2579</v>
      </c>
      <c r="CAN1" t="s">
        <v>2166</v>
      </c>
      <c r="CAO1" t="s">
        <v>2167</v>
      </c>
      <c r="CAP1" t="s">
        <v>2168</v>
      </c>
      <c r="CAQ1" t="s">
        <v>3057</v>
      </c>
      <c r="CAR1" t="s">
        <v>1655</v>
      </c>
      <c r="CAS1" t="s">
        <v>1656</v>
      </c>
      <c r="CAT1" t="s">
        <v>1657</v>
      </c>
      <c r="CAU1" t="s">
        <v>1658</v>
      </c>
      <c r="CAV1" t="s">
        <v>1659</v>
      </c>
      <c r="CAW1" t="s">
        <v>1660</v>
      </c>
      <c r="CAX1" t="s">
        <v>1661</v>
      </c>
      <c r="CAY1" t="s">
        <v>2580</v>
      </c>
      <c r="CAZ1" t="s">
        <v>2169</v>
      </c>
      <c r="CBA1" t="s">
        <v>2170</v>
      </c>
      <c r="CBB1" t="s">
        <v>2171</v>
      </c>
      <c r="CBC1" t="s">
        <v>3058</v>
      </c>
      <c r="CBD1" t="s">
        <v>1662</v>
      </c>
      <c r="CBE1" t="s">
        <v>1663</v>
      </c>
      <c r="CBF1" t="s">
        <v>1664</v>
      </c>
      <c r="CBG1" t="s">
        <v>1665</v>
      </c>
      <c r="CBH1" t="s">
        <v>1666</v>
      </c>
      <c r="CBI1" t="s">
        <v>1667</v>
      </c>
      <c r="CBJ1" t="s">
        <v>1668</v>
      </c>
      <c r="CBK1" t="s">
        <v>2581</v>
      </c>
      <c r="CBL1" t="s">
        <v>2172</v>
      </c>
      <c r="CBM1" t="s">
        <v>2173</v>
      </c>
      <c r="CBN1" t="s">
        <v>2174</v>
      </c>
      <c r="CBO1" t="s">
        <v>3059</v>
      </c>
      <c r="CBP1" t="s">
        <v>1669</v>
      </c>
      <c r="CBQ1" t="s">
        <v>1670</v>
      </c>
      <c r="CBR1" t="s">
        <v>1671</v>
      </c>
      <c r="CBS1" t="s">
        <v>1672</v>
      </c>
      <c r="CBT1" t="s">
        <v>1673</v>
      </c>
      <c r="CBU1" t="s">
        <v>1674</v>
      </c>
      <c r="CBV1" t="s">
        <v>1675</v>
      </c>
      <c r="CBW1" t="s">
        <v>2582</v>
      </c>
      <c r="CBX1" t="s">
        <v>2175</v>
      </c>
      <c r="CBY1" t="s">
        <v>2176</v>
      </c>
      <c r="CBZ1" t="s">
        <v>2177</v>
      </c>
      <c r="CCA1" t="s">
        <v>3060</v>
      </c>
      <c r="CCB1" t="s">
        <v>1676</v>
      </c>
      <c r="CCC1" t="s">
        <v>1677</v>
      </c>
      <c r="CCD1" t="s">
        <v>1678</v>
      </c>
      <c r="CCE1" t="s">
        <v>1679</v>
      </c>
      <c r="CCF1" t="s">
        <v>1680</v>
      </c>
      <c r="CCG1" t="s">
        <v>1681</v>
      </c>
      <c r="CCH1" t="s">
        <v>1682</v>
      </c>
      <c r="CCI1" t="s">
        <v>2583</v>
      </c>
      <c r="CCJ1" t="s">
        <v>2178</v>
      </c>
      <c r="CCK1" t="s">
        <v>2179</v>
      </c>
      <c r="CCL1" t="s">
        <v>2180</v>
      </c>
      <c r="CCM1" t="s">
        <v>3061</v>
      </c>
      <c r="CCN1" t="s">
        <v>1683</v>
      </c>
      <c r="CCO1" t="s">
        <v>1684</v>
      </c>
      <c r="CCP1" t="s">
        <v>1685</v>
      </c>
      <c r="CCQ1" t="s">
        <v>1686</v>
      </c>
      <c r="CCR1" t="s">
        <v>1687</v>
      </c>
      <c r="CCS1" t="s">
        <v>1688</v>
      </c>
      <c r="CCT1" t="s">
        <v>1689</v>
      </c>
      <c r="CCU1" t="s">
        <v>2584</v>
      </c>
      <c r="CCV1" t="s">
        <v>2181</v>
      </c>
      <c r="CCW1" t="s">
        <v>2182</v>
      </c>
      <c r="CCX1" t="s">
        <v>2183</v>
      </c>
      <c r="CCY1" t="s">
        <v>3062</v>
      </c>
      <c r="CCZ1" t="s">
        <v>1690</v>
      </c>
      <c r="CDA1" t="s">
        <v>1691</v>
      </c>
      <c r="CDB1" t="s">
        <v>1692</v>
      </c>
      <c r="CDC1" t="s">
        <v>1693</v>
      </c>
      <c r="CDD1" t="s">
        <v>1694</v>
      </c>
      <c r="CDE1" t="s">
        <v>1695</v>
      </c>
      <c r="CDF1" t="s">
        <v>1696</v>
      </c>
      <c r="CDG1" t="s">
        <v>2585</v>
      </c>
      <c r="CDH1" t="s">
        <v>2184</v>
      </c>
      <c r="CDI1" t="s">
        <v>2185</v>
      </c>
      <c r="CDJ1" t="s">
        <v>2186</v>
      </c>
      <c r="CDK1" t="s">
        <v>3063</v>
      </c>
      <c r="CDL1" t="s">
        <v>1697</v>
      </c>
      <c r="CDM1" t="s">
        <v>1698</v>
      </c>
      <c r="CDN1" t="s">
        <v>1699</v>
      </c>
      <c r="CDO1" t="s">
        <v>1700</v>
      </c>
      <c r="CDP1" t="s">
        <v>1701</v>
      </c>
      <c r="CDQ1" t="s">
        <v>1702</v>
      </c>
      <c r="CDR1" t="s">
        <v>1703</v>
      </c>
      <c r="CDS1" t="s">
        <v>2586</v>
      </c>
      <c r="CDT1" t="s">
        <v>2187</v>
      </c>
      <c r="CDU1" t="s">
        <v>2188</v>
      </c>
      <c r="CDV1" t="s">
        <v>2189</v>
      </c>
      <c r="CDW1" t="s">
        <v>3064</v>
      </c>
      <c r="CDX1" t="s">
        <v>1704</v>
      </c>
      <c r="CDY1" t="s">
        <v>1705</v>
      </c>
      <c r="CDZ1" t="s">
        <v>1706</v>
      </c>
      <c r="CEA1" t="s">
        <v>1707</v>
      </c>
      <c r="CEB1" t="s">
        <v>1708</v>
      </c>
      <c r="CEC1" t="s">
        <v>1709</v>
      </c>
      <c r="CED1" t="s">
        <v>1710</v>
      </c>
      <c r="CEE1" t="s">
        <v>2587</v>
      </c>
      <c r="CEF1" t="s">
        <v>2190</v>
      </c>
      <c r="CEG1" t="s">
        <v>2191</v>
      </c>
      <c r="CEH1" t="s">
        <v>2192</v>
      </c>
      <c r="CEI1" t="s">
        <v>3065</v>
      </c>
      <c r="CEJ1" t="s">
        <v>1711</v>
      </c>
      <c r="CEK1" t="s">
        <v>1712</v>
      </c>
      <c r="CEL1" t="s">
        <v>1713</v>
      </c>
      <c r="CEM1" t="s">
        <v>1714</v>
      </c>
      <c r="CEN1" t="s">
        <v>1715</v>
      </c>
      <c r="CEO1" t="s">
        <v>1716</v>
      </c>
      <c r="CEP1" t="s">
        <v>1717</v>
      </c>
      <c r="CEQ1" t="s">
        <v>2588</v>
      </c>
      <c r="CER1" t="s">
        <v>2193</v>
      </c>
      <c r="CES1" t="s">
        <v>2194</v>
      </c>
      <c r="CET1" t="s">
        <v>2195</v>
      </c>
      <c r="CEU1" t="s">
        <v>3066</v>
      </c>
      <c r="CEV1" t="s">
        <v>1718</v>
      </c>
      <c r="CEW1" t="s">
        <v>1719</v>
      </c>
      <c r="CEX1" t="s">
        <v>1720</v>
      </c>
      <c r="CEY1" t="s">
        <v>1721</v>
      </c>
      <c r="CEZ1" t="s">
        <v>1722</v>
      </c>
      <c r="CFA1" t="s">
        <v>1723</v>
      </c>
      <c r="CFB1" t="s">
        <v>1724</v>
      </c>
      <c r="CFC1" t="s">
        <v>2589</v>
      </c>
      <c r="CFD1" t="s">
        <v>2196</v>
      </c>
      <c r="CFE1" t="s">
        <v>2197</v>
      </c>
      <c r="CFF1" t="s">
        <v>2198</v>
      </c>
      <c r="CFG1" t="s">
        <v>3067</v>
      </c>
      <c r="CFH1" t="s">
        <v>1725</v>
      </c>
      <c r="CFI1" t="s">
        <v>1726</v>
      </c>
      <c r="CFJ1" t="s">
        <v>1727</v>
      </c>
      <c r="CFK1" t="s">
        <v>1728</v>
      </c>
      <c r="CFL1" t="s">
        <v>1729</v>
      </c>
      <c r="CFM1" t="s">
        <v>1730</v>
      </c>
      <c r="CFN1" t="s">
        <v>1731</v>
      </c>
      <c r="CFO1" t="s">
        <v>2590</v>
      </c>
      <c r="CFP1" t="s">
        <v>2199</v>
      </c>
      <c r="CFQ1" t="s">
        <v>2200</v>
      </c>
      <c r="CFR1" t="s">
        <v>2201</v>
      </c>
      <c r="CFS1" t="s">
        <v>3068</v>
      </c>
      <c r="CFT1" t="s">
        <v>1732</v>
      </c>
      <c r="CFU1" t="s">
        <v>1733</v>
      </c>
      <c r="CFV1" t="s">
        <v>1734</v>
      </c>
      <c r="CFW1" t="s">
        <v>1735</v>
      </c>
      <c r="CFX1" t="s">
        <v>1736</v>
      </c>
      <c r="CFY1" t="s">
        <v>1737</v>
      </c>
      <c r="CFZ1" t="s">
        <v>1738</v>
      </c>
      <c r="CGA1" t="s">
        <v>2591</v>
      </c>
      <c r="CGB1" t="s">
        <v>2202</v>
      </c>
      <c r="CGC1" t="s">
        <v>2203</v>
      </c>
      <c r="CGD1" t="s">
        <v>2204</v>
      </c>
      <c r="CGE1" t="s">
        <v>3069</v>
      </c>
      <c r="CGF1" t="s">
        <v>1739</v>
      </c>
      <c r="CGG1" t="s">
        <v>1740</v>
      </c>
      <c r="CGH1" t="s">
        <v>1741</v>
      </c>
      <c r="CGI1" t="s">
        <v>1742</v>
      </c>
      <c r="CGJ1" t="s">
        <v>1743</v>
      </c>
      <c r="CGK1" t="s">
        <v>1744</v>
      </c>
      <c r="CGL1" t="s">
        <v>1745</v>
      </c>
      <c r="CGM1" t="s">
        <v>2592</v>
      </c>
      <c r="CGN1" t="s">
        <v>2205</v>
      </c>
      <c r="CGO1" t="s">
        <v>2206</v>
      </c>
      <c r="CGP1" t="s">
        <v>2207</v>
      </c>
      <c r="CGQ1" t="s">
        <v>3070</v>
      </c>
      <c r="CGR1" t="s">
        <v>1746</v>
      </c>
      <c r="CGS1" t="s">
        <v>1747</v>
      </c>
      <c r="CGT1" t="s">
        <v>1748</v>
      </c>
      <c r="CGU1" t="s">
        <v>1749</v>
      </c>
      <c r="CGV1" t="s">
        <v>1750</v>
      </c>
      <c r="CGW1" t="s">
        <v>1751</v>
      </c>
      <c r="CGX1" t="s">
        <v>1752</v>
      </c>
      <c r="CGY1" t="s">
        <v>2593</v>
      </c>
      <c r="CGZ1" t="s">
        <v>2208</v>
      </c>
      <c r="CHA1" t="s">
        <v>2209</v>
      </c>
      <c r="CHB1" t="s">
        <v>2210</v>
      </c>
      <c r="CHC1" t="s">
        <v>3071</v>
      </c>
      <c r="CHD1" t="s">
        <v>1753</v>
      </c>
      <c r="CHE1" t="s">
        <v>1754</v>
      </c>
      <c r="CHF1" t="s">
        <v>1755</v>
      </c>
      <c r="CHG1" t="s">
        <v>1756</v>
      </c>
      <c r="CHH1" t="s">
        <v>1757</v>
      </c>
      <c r="CHI1" t="s">
        <v>1758</v>
      </c>
      <c r="CHJ1" t="s">
        <v>1759</v>
      </c>
      <c r="CHK1" t="s">
        <v>2594</v>
      </c>
      <c r="CHL1" t="s">
        <v>2211</v>
      </c>
      <c r="CHM1" t="s">
        <v>2212</v>
      </c>
      <c r="CHN1" t="s">
        <v>2213</v>
      </c>
      <c r="CHO1" t="s">
        <v>3072</v>
      </c>
      <c r="CHP1" t="s">
        <v>1760</v>
      </c>
      <c r="CHQ1" t="s">
        <v>1761</v>
      </c>
      <c r="CHR1" t="s">
        <v>1762</v>
      </c>
      <c r="CHS1" t="s">
        <v>1763</v>
      </c>
      <c r="CHT1" t="s">
        <v>1764</v>
      </c>
      <c r="CHU1" t="s">
        <v>1765</v>
      </c>
      <c r="CHV1" t="s">
        <v>1766</v>
      </c>
      <c r="CHW1" t="s">
        <v>2595</v>
      </c>
      <c r="CHX1" t="s">
        <v>2214</v>
      </c>
      <c r="CHY1" t="s">
        <v>2215</v>
      </c>
      <c r="CHZ1" t="s">
        <v>2216</v>
      </c>
      <c r="CIA1" t="s">
        <v>3073</v>
      </c>
      <c r="CIB1" t="s">
        <v>1767</v>
      </c>
      <c r="CIC1" t="s">
        <v>1768</v>
      </c>
      <c r="CID1" t="s">
        <v>1769</v>
      </c>
      <c r="CIE1" t="s">
        <v>1770</v>
      </c>
      <c r="CIF1" t="s">
        <v>1771</v>
      </c>
      <c r="CIG1" t="s">
        <v>1772</v>
      </c>
      <c r="CIH1" t="s">
        <v>1773</v>
      </c>
      <c r="CII1" t="s">
        <v>2596</v>
      </c>
      <c r="CIJ1" t="s">
        <v>2217</v>
      </c>
      <c r="CIK1" t="s">
        <v>2218</v>
      </c>
      <c r="CIL1" t="s">
        <v>2219</v>
      </c>
      <c r="CIM1" t="s">
        <v>3074</v>
      </c>
      <c r="CIN1" t="s">
        <v>1774</v>
      </c>
      <c r="CIO1" t="s">
        <v>1775</v>
      </c>
      <c r="CIP1" t="s">
        <v>1776</v>
      </c>
      <c r="CIQ1" t="s">
        <v>1777</v>
      </c>
      <c r="CIR1" t="s">
        <v>1778</v>
      </c>
      <c r="CIS1" t="s">
        <v>1779</v>
      </c>
      <c r="CIT1" t="s">
        <v>1780</v>
      </c>
      <c r="CIU1" t="s">
        <v>2597</v>
      </c>
      <c r="CIV1" t="s">
        <v>2220</v>
      </c>
      <c r="CIW1" t="s">
        <v>2221</v>
      </c>
      <c r="CIX1" t="s">
        <v>2222</v>
      </c>
      <c r="CIY1" t="s">
        <v>3075</v>
      </c>
      <c r="CIZ1" t="s">
        <v>1781</v>
      </c>
      <c r="CJA1" t="s">
        <v>1782</v>
      </c>
      <c r="CJB1" t="s">
        <v>1783</v>
      </c>
      <c r="CJC1" t="s">
        <v>1784</v>
      </c>
      <c r="CJD1" t="s">
        <v>1785</v>
      </c>
      <c r="CJE1" t="s">
        <v>1786</v>
      </c>
      <c r="CJF1" t="s">
        <v>1787</v>
      </c>
      <c r="CJG1" t="s">
        <v>2600</v>
      </c>
      <c r="CJH1" t="s">
        <v>2223</v>
      </c>
      <c r="CJI1" t="s">
        <v>2224</v>
      </c>
      <c r="CJJ1" t="s">
        <v>2225</v>
      </c>
      <c r="CJK1" t="s">
        <v>3076</v>
      </c>
      <c r="CJL1" t="s">
        <v>1788</v>
      </c>
      <c r="CJM1" t="s">
        <v>1789</v>
      </c>
      <c r="CJN1" t="s">
        <v>1790</v>
      </c>
      <c r="CJO1" t="s">
        <v>1791</v>
      </c>
      <c r="CJP1" t="s">
        <v>1792</v>
      </c>
      <c r="CJQ1" t="s">
        <v>1793</v>
      </c>
      <c r="CJR1" t="s">
        <v>1794</v>
      </c>
      <c r="CJS1" t="s">
        <v>2601</v>
      </c>
      <c r="CJT1" t="s">
        <v>2226</v>
      </c>
      <c r="CJU1" t="s">
        <v>2227</v>
      </c>
      <c r="CJV1" t="s">
        <v>2228</v>
      </c>
      <c r="CJW1" t="s">
        <v>3077</v>
      </c>
      <c r="CJX1" t="s">
        <v>1795</v>
      </c>
      <c r="CJY1" t="s">
        <v>1796</v>
      </c>
      <c r="CJZ1" t="s">
        <v>1797</v>
      </c>
      <c r="CKA1" t="s">
        <v>1798</v>
      </c>
      <c r="CKB1" t="s">
        <v>1799</v>
      </c>
      <c r="CKC1" t="s">
        <v>1800</v>
      </c>
      <c r="CKD1" t="s">
        <v>1801</v>
      </c>
      <c r="CKE1" t="s">
        <v>2602</v>
      </c>
      <c r="CKF1" t="s">
        <v>2229</v>
      </c>
      <c r="CKG1" t="s">
        <v>2230</v>
      </c>
      <c r="CKH1" t="s">
        <v>2231</v>
      </c>
      <c r="CKI1" t="s">
        <v>3078</v>
      </c>
      <c r="CKJ1" t="s">
        <v>1802</v>
      </c>
      <c r="CKK1" t="s">
        <v>1803</v>
      </c>
      <c r="CKL1" t="s">
        <v>1804</v>
      </c>
      <c r="CKM1" t="s">
        <v>1805</v>
      </c>
      <c r="CKN1" t="s">
        <v>1806</v>
      </c>
      <c r="CKO1" t="s">
        <v>1807</v>
      </c>
      <c r="CKP1" t="s">
        <v>1808</v>
      </c>
      <c r="CKQ1" t="s">
        <v>2603</v>
      </c>
      <c r="CKR1" t="s">
        <v>2232</v>
      </c>
      <c r="CKS1" t="s">
        <v>2233</v>
      </c>
      <c r="CKT1" t="s">
        <v>2234</v>
      </c>
      <c r="CKU1" t="s">
        <v>3079</v>
      </c>
      <c r="CKV1" t="s">
        <v>1809</v>
      </c>
      <c r="CKW1" t="s">
        <v>1810</v>
      </c>
      <c r="CKX1" t="s">
        <v>1811</v>
      </c>
      <c r="CKY1" t="s">
        <v>1812</v>
      </c>
      <c r="CKZ1" t="s">
        <v>1813</v>
      </c>
      <c r="CLA1" t="s">
        <v>1814</v>
      </c>
      <c r="CLB1" t="s">
        <v>1815</v>
      </c>
      <c r="CLC1" t="s">
        <v>2604</v>
      </c>
      <c r="CLD1" t="s">
        <v>2235</v>
      </c>
      <c r="CLE1" t="s">
        <v>2236</v>
      </c>
      <c r="CLF1" t="s">
        <v>2237</v>
      </c>
      <c r="CLG1" t="s">
        <v>3080</v>
      </c>
      <c r="CLH1" t="s">
        <v>1816</v>
      </c>
      <c r="CLI1" t="s">
        <v>1817</v>
      </c>
      <c r="CLJ1" t="s">
        <v>1818</v>
      </c>
      <c r="CLK1" t="s">
        <v>1819</v>
      </c>
      <c r="CLL1" t="s">
        <v>1820</v>
      </c>
      <c r="CLM1" t="s">
        <v>1821</v>
      </c>
      <c r="CLN1" t="s">
        <v>1822</v>
      </c>
      <c r="CLO1" t="s">
        <v>2606</v>
      </c>
      <c r="CLP1" t="s">
        <v>2238</v>
      </c>
      <c r="CLQ1" t="s">
        <v>2239</v>
      </c>
      <c r="CLR1" t="s">
        <v>2240</v>
      </c>
      <c r="CLS1" t="s">
        <v>3081</v>
      </c>
      <c r="CLT1" t="s">
        <v>1823</v>
      </c>
      <c r="CLU1" t="s">
        <v>1824</v>
      </c>
      <c r="CLV1" t="s">
        <v>1825</v>
      </c>
      <c r="CLW1" t="s">
        <v>1826</v>
      </c>
      <c r="CLX1" t="s">
        <v>1827</v>
      </c>
      <c r="CLY1" t="s">
        <v>1828</v>
      </c>
      <c r="CLZ1" t="s">
        <v>1829</v>
      </c>
      <c r="CMA1" t="s">
        <v>2607</v>
      </c>
      <c r="CMB1" t="s">
        <v>2241</v>
      </c>
      <c r="CMC1" t="s">
        <v>2242</v>
      </c>
      <c r="CMD1" t="s">
        <v>2243</v>
      </c>
      <c r="CME1" t="s">
        <v>3082</v>
      </c>
      <c r="CMF1" t="s">
        <v>1830</v>
      </c>
      <c r="CMG1" t="s">
        <v>1831</v>
      </c>
      <c r="CMH1" t="s">
        <v>1832</v>
      </c>
      <c r="CMI1" t="s">
        <v>1833</v>
      </c>
      <c r="CMJ1" t="s">
        <v>1834</v>
      </c>
      <c r="CMK1" t="s">
        <v>1835</v>
      </c>
      <c r="CML1" t="s">
        <v>1836</v>
      </c>
      <c r="CMM1" t="s">
        <v>2608</v>
      </c>
      <c r="CMN1" t="s">
        <v>2244</v>
      </c>
      <c r="CMO1" t="s">
        <v>2245</v>
      </c>
      <c r="CMP1" t="s">
        <v>2246</v>
      </c>
      <c r="CMQ1" t="s">
        <v>3083</v>
      </c>
      <c r="CMR1" t="s">
        <v>1837</v>
      </c>
      <c r="CMS1" t="s">
        <v>1838</v>
      </c>
      <c r="CMT1" t="s">
        <v>1839</v>
      </c>
      <c r="CMU1" t="s">
        <v>1840</v>
      </c>
      <c r="CMV1" t="s">
        <v>1841</v>
      </c>
      <c r="CMW1" t="s">
        <v>1842</v>
      </c>
      <c r="CMX1" t="s">
        <v>1843</v>
      </c>
      <c r="CMY1" t="s">
        <v>2609</v>
      </c>
      <c r="CMZ1" t="s">
        <v>2247</v>
      </c>
      <c r="CNA1" t="s">
        <v>2248</v>
      </c>
      <c r="CNB1" t="s">
        <v>2249</v>
      </c>
      <c r="CNC1" t="s">
        <v>3084</v>
      </c>
      <c r="CND1" t="s">
        <v>1844</v>
      </c>
      <c r="CNE1" t="s">
        <v>1845</v>
      </c>
      <c r="CNF1" t="s">
        <v>1846</v>
      </c>
      <c r="CNG1" t="s">
        <v>1847</v>
      </c>
      <c r="CNH1" t="s">
        <v>1848</v>
      </c>
      <c r="CNI1" t="s">
        <v>1849</v>
      </c>
      <c r="CNJ1" t="s">
        <v>1850</v>
      </c>
      <c r="CNK1" t="s">
        <v>2610</v>
      </c>
      <c r="CNL1" t="s">
        <v>2250</v>
      </c>
      <c r="CNM1" t="s">
        <v>2251</v>
      </c>
      <c r="CNN1" t="s">
        <v>2252</v>
      </c>
      <c r="CNO1" t="s">
        <v>3085</v>
      </c>
      <c r="CNP1" t="s">
        <v>1851</v>
      </c>
      <c r="CNQ1" t="s">
        <v>1852</v>
      </c>
      <c r="CNR1" t="s">
        <v>1853</v>
      </c>
      <c r="CNS1" t="s">
        <v>1854</v>
      </c>
      <c r="CNT1" t="s">
        <v>1855</v>
      </c>
      <c r="CNU1" t="s">
        <v>1856</v>
      </c>
      <c r="CNV1" t="s">
        <v>1857</v>
      </c>
      <c r="CNW1" t="s">
        <v>2611</v>
      </c>
      <c r="CNX1" t="s">
        <v>2253</v>
      </c>
      <c r="CNY1" t="s">
        <v>2254</v>
      </c>
      <c r="CNZ1" t="s">
        <v>2255</v>
      </c>
      <c r="COA1" t="s">
        <v>3086</v>
      </c>
      <c r="COB1" t="s">
        <v>1858</v>
      </c>
      <c r="COC1" t="s">
        <v>1859</v>
      </c>
      <c r="COD1" t="s">
        <v>1860</v>
      </c>
      <c r="COE1" t="s">
        <v>1861</v>
      </c>
      <c r="COF1" t="s">
        <v>1862</v>
      </c>
      <c r="COG1" t="s">
        <v>1863</v>
      </c>
      <c r="COH1" t="s">
        <v>1864</v>
      </c>
      <c r="COI1" t="s">
        <v>2612</v>
      </c>
      <c r="COJ1" t="s">
        <v>2256</v>
      </c>
      <c r="COK1" t="s">
        <v>2257</v>
      </c>
      <c r="COL1" t="s">
        <v>2258</v>
      </c>
      <c r="COM1" t="s">
        <v>3087</v>
      </c>
      <c r="CON1" t="s">
        <v>1865</v>
      </c>
      <c r="COO1" t="s">
        <v>1866</v>
      </c>
      <c r="COP1" t="s">
        <v>1867</v>
      </c>
      <c r="COQ1" t="s">
        <v>1868</v>
      </c>
      <c r="COR1" t="s">
        <v>1869</v>
      </c>
      <c r="COS1" t="s">
        <v>1870</v>
      </c>
      <c r="COT1" t="s">
        <v>1871</v>
      </c>
      <c r="COU1" t="s">
        <v>2613</v>
      </c>
      <c r="COV1" t="s">
        <v>2259</v>
      </c>
      <c r="COW1" t="s">
        <v>2260</v>
      </c>
      <c r="COX1" t="s">
        <v>2261</v>
      </c>
      <c r="COY1" t="s">
        <v>3088</v>
      </c>
      <c r="COZ1" t="s">
        <v>1872</v>
      </c>
      <c r="CPA1" t="s">
        <v>1873</v>
      </c>
      <c r="CPB1" t="s">
        <v>1874</v>
      </c>
      <c r="CPC1" t="s">
        <v>1875</v>
      </c>
      <c r="CPD1" t="s">
        <v>1876</v>
      </c>
      <c r="CPE1" t="s">
        <v>1877</v>
      </c>
      <c r="CPF1" t="s">
        <v>1878</v>
      </c>
      <c r="CPG1" t="s">
        <v>2617</v>
      </c>
      <c r="CPH1" t="s">
        <v>2262</v>
      </c>
      <c r="CPI1" t="s">
        <v>2263</v>
      </c>
      <c r="CPJ1" t="s">
        <v>2264</v>
      </c>
      <c r="CPK1" t="s">
        <v>3089</v>
      </c>
      <c r="CPL1" t="s">
        <v>1879</v>
      </c>
      <c r="CPM1" t="s">
        <v>1880</v>
      </c>
      <c r="CPN1" t="s">
        <v>1881</v>
      </c>
      <c r="CPO1" t="s">
        <v>1882</v>
      </c>
      <c r="CPP1" t="s">
        <v>1883</v>
      </c>
      <c r="CPQ1" t="s">
        <v>1884</v>
      </c>
      <c r="CPR1" t="s">
        <v>1885</v>
      </c>
      <c r="CPS1" t="s">
        <v>2618</v>
      </c>
      <c r="CPT1" t="s">
        <v>2265</v>
      </c>
      <c r="CPU1" t="s">
        <v>2266</v>
      </c>
      <c r="CPV1" t="s">
        <v>2267</v>
      </c>
      <c r="CPW1" t="s">
        <v>3090</v>
      </c>
      <c r="CPX1" t="s">
        <v>1886</v>
      </c>
      <c r="CPY1" t="s">
        <v>1887</v>
      </c>
      <c r="CPZ1" t="s">
        <v>1888</v>
      </c>
      <c r="CQA1" t="s">
        <v>1889</v>
      </c>
      <c r="CQB1" t="s">
        <v>1890</v>
      </c>
      <c r="CQC1" t="s">
        <v>1891</v>
      </c>
      <c r="CQD1" t="s">
        <v>1892</v>
      </c>
      <c r="CQE1" t="s">
        <v>2619</v>
      </c>
      <c r="CQF1" t="s">
        <v>2268</v>
      </c>
      <c r="CQG1" t="s">
        <v>2269</v>
      </c>
      <c r="CQH1" t="s">
        <v>2270</v>
      </c>
      <c r="CQI1" t="s">
        <v>3091</v>
      </c>
      <c r="CQJ1" t="s">
        <v>1893</v>
      </c>
      <c r="CQK1" t="s">
        <v>1894</v>
      </c>
      <c r="CQL1" t="s">
        <v>1895</v>
      </c>
      <c r="CQM1" t="s">
        <v>1896</v>
      </c>
      <c r="CQN1" t="s">
        <v>1897</v>
      </c>
      <c r="CQO1" t="s">
        <v>1898</v>
      </c>
      <c r="CQP1" t="s">
        <v>1899</v>
      </c>
      <c r="CQQ1" t="s">
        <v>2620</v>
      </c>
      <c r="CQR1" t="s">
        <v>2271</v>
      </c>
      <c r="CQS1" t="s">
        <v>2272</v>
      </c>
      <c r="CQT1" t="s">
        <v>2273</v>
      </c>
      <c r="CQU1" t="s">
        <v>3092</v>
      </c>
    </row>
    <row r="2" spans="1:2491" ht="82.5" customHeight="1">
      <c r="A2" t="s">
        <v>20</v>
      </c>
      <c r="B2" t="s">
        <v>53</v>
      </c>
      <c r="C2" t="s">
        <v>3760</v>
      </c>
      <c r="D2" t="s">
        <v>187</v>
      </c>
      <c r="E2" t="s">
        <v>3697</v>
      </c>
      <c r="F2" t="s">
        <v>53</v>
      </c>
      <c r="G2" t="s">
        <v>2670</v>
      </c>
      <c r="H2">
        <v>0</v>
      </c>
      <c r="J2" t="s">
        <v>3779</v>
      </c>
      <c r="K2" t="s">
        <v>21</v>
      </c>
      <c r="L2" t="s">
        <v>55</v>
      </c>
      <c r="M2" t="s">
        <v>3757</v>
      </c>
      <c r="N2" t="s">
        <v>194</v>
      </c>
      <c r="O2" t="s">
        <v>3104</v>
      </c>
      <c r="P2" t="s">
        <v>55</v>
      </c>
      <c r="Q2" t="s">
        <v>2670</v>
      </c>
      <c r="R2">
        <v>1</v>
      </c>
      <c r="S2" t="s">
        <v>18</v>
      </c>
      <c r="T2" t="s">
        <v>3780</v>
      </c>
      <c r="U2" t="s">
        <v>23</v>
      </c>
      <c r="V2" t="s">
        <v>91</v>
      </c>
      <c r="W2" t="s">
        <v>3757</v>
      </c>
      <c r="X2" t="s">
        <v>349</v>
      </c>
      <c r="Y2" t="s">
        <v>3103</v>
      </c>
      <c r="Z2" t="s">
        <v>91</v>
      </c>
      <c r="AA2" t="s">
        <v>2670</v>
      </c>
      <c r="AB2">
        <v>2</v>
      </c>
      <c r="AD2" t="s">
        <v>3780</v>
      </c>
      <c r="AE2" t="s">
        <v>0</v>
      </c>
      <c r="AF2" t="s">
        <v>3680</v>
      </c>
      <c r="AG2" t="s">
        <v>3682</v>
      </c>
      <c r="AH2">
        <v>180209</v>
      </c>
      <c r="AI2" t="s">
        <v>3697</v>
      </c>
      <c r="AJ2" t="s">
        <v>53</v>
      </c>
      <c r="AK2" t="s">
        <v>0</v>
      </c>
      <c r="AL2" t="s">
        <v>3678</v>
      </c>
      <c r="AM2" t="s">
        <v>3677</v>
      </c>
      <c r="AN2">
        <v>180205</v>
      </c>
      <c r="AO2" t="s">
        <v>3103</v>
      </c>
      <c r="AP2" t="s">
        <v>91</v>
      </c>
      <c r="AQ2" t="s">
        <v>3671</v>
      </c>
      <c r="AR2" t="s">
        <v>3675</v>
      </c>
      <c r="AS2" t="s">
        <v>3674</v>
      </c>
      <c r="AT2">
        <v>180201</v>
      </c>
      <c r="AU2" t="s">
        <v>3715</v>
      </c>
      <c r="AV2" t="s">
        <v>53</v>
      </c>
      <c r="AW2" t="s">
        <v>0</v>
      </c>
      <c r="AX2" t="s">
        <v>3669</v>
      </c>
      <c r="AY2" t="s">
        <v>3668</v>
      </c>
      <c r="AZ2">
        <v>180131</v>
      </c>
      <c r="BA2" t="s">
        <v>3712</v>
      </c>
      <c r="BB2" t="s">
        <v>137</v>
      </c>
      <c r="BC2" t="s">
        <v>0</v>
      </c>
      <c r="BD2" t="s">
        <v>3666</v>
      </c>
      <c r="BE2" t="s">
        <v>3664</v>
      </c>
      <c r="BF2">
        <v>180129</v>
      </c>
      <c r="BG2" t="s">
        <v>3104</v>
      </c>
      <c r="BH2" t="s">
        <v>55</v>
      </c>
      <c r="BI2" t="s">
        <v>0</v>
      </c>
      <c r="BJ2" t="s">
        <v>3660</v>
      </c>
      <c r="BK2" t="s">
        <v>3662</v>
      </c>
      <c r="BL2">
        <v>180124</v>
      </c>
      <c r="BM2" t="s">
        <v>3710</v>
      </c>
      <c r="BN2" t="s">
        <v>78</v>
      </c>
      <c r="BO2" t="s">
        <v>3680</v>
      </c>
      <c r="BP2" t="s">
        <v>3686</v>
      </c>
      <c r="BQ2" t="s">
        <v>187</v>
      </c>
      <c r="BR2" t="s">
        <v>3697</v>
      </c>
      <c r="BT2" t="s">
        <v>3666</v>
      </c>
      <c r="BU2" t="s">
        <v>3684</v>
      </c>
      <c r="BV2" t="s">
        <v>194</v>
      </c>
      <c r="BW2" t="s">
        <v>3104</v>
      </c>
      <c r="BY2" t="s">
        <v>53</v>
      </c>
      <c r="BZ2" t="s">
        <v>185</v>
      </c>
      <c r="CA2" t="s">
        <v>2324</v>
      </c>
      <c r="CD2" t="s">
        <v>187</v>
      </c>
      <c r="CE2" t="s">
        <v>3731</v>
      </c>
      <c r="CF2" t="s">
        <v>2670</v>
      </c>
      <c r="CG2" t="s">
        <v>55</v>
      </c>
      <c r="CH2" t="s">
        <v>193</v>
      </c>
      <c r="CI2" t="s">
        <v>2330</v>
      </c>
      <c r="CL2" t="s">
        <v>194</v>
      </c>
      <c r="CM2" t="s">
        <v>3735</v>
      </c>
      <c r="CN2" t="s">
        <v>2670</v>
      </c>
      <c r="CO2" t="s">
        <v>137</v>
      </c>
      <c r="CP2" t="s">
        <v>608</v>
      </c>
      <c r="CQ2" t="s">
        <v>3739</v>
      </c>
      <c r="CT2" t="s">
        <v>3365</v>
      </c>
      <c r="CU2" t="s">
        <v>3740</v>
      </c>
      <c r="CW2" t="s">
        <v>78</v>
      </c>
      <c r="CX2" t="s">
        <v>294</v>
      </c>
      <c r="CY2" t="s">
        <v>2442</v>
      </c>
      <c r="DB2" t="s">
        <v>295</v>
      </c>
      <c r="DC2" t="s">
        <v>3744</v>
      </c>
      <c r="DE2" t="s">
        <v>91</v>
      </c>
      <c r="DF2" t="s">
        <v>348</v>
      </c>
      <c r="DG2" t="s">
        <v>3748</v>
      </c>
      <c r="DJ2" t="s">
        <v>349</v>
      </c>
      <c r="DK2" t="s">
        <v>3749</v>
      </c>
      <c r="DL2" t="s">
        <v>2670</v>
      </c>
      <c r="DM2" t="s">
        <v>536</v>
      </c>
      <c r="DN2" t="s">
        <v>537</v>
      </c>
      <c r="DO2" t="s">
        <v>3753</v>
      </c>
      <c r="DR2" t="s">
        <v>3343</v>
      </c>
      <c r="DS2" t="s">
        <v>3754</v>
      </c>
      <c r="DU2" t="s">
        <v>1</v>
      </c>
      <c r="DV2" t="s">
        <v>2</v>
      </c>
      <c r="DW2" t="s">
        <v>163</v>
      </c>
      <c r="DZ2" t="s">
        <v>1</v>
      </c>
      <c r="EA2" t="s">
        <v>2</v>
      </c>
      <c r="EB2" t="s">
        <v>163</v>
      </c>
      <c r="EE2" t="s">
        <v>3775</v>
      </c>
      <c r="EG2" t="s">
        <v>2667</v>
      </c>
      <c r="EI2" t="s">
        <v>3601</v>
      </c>
      <c r="EJ2" t="s">
        <v>3529</v>
      </c>
      <c r="EK2" t="s">
        <v>3781</v>
      </c>
      <c r="EL2" t="s">
        <v>3098</v>
      </c>
      <c r="EM2" t="s">
        <v>3775</v>
      </c>
      <c r="EO2" t="s">
        <v>2667</v>
      </c>
      <c r="EQ2" t="s">
        <v>3602</v>
      </c>
      <c r="ER2" t="s">
        <v>3531</v>
      </c>
      <c r="ES2" t="s">
        <v>3781</v>
      </c>
      <c r="ET2" t="s">
        <v>3096</v>
      </c>
      <c r="EU2" t="s">
        <v>3605</v>
      </c>
      <c r="EW2" t="s">
        <v>2667</v>
      </c>
      <c r="EX2" s="9">
        <v>43136</v>
      </c>
      <c r="EY2" t="s">
        <v>3103</v>
      </c>
      <c r="EZ2" t="s">
        <v>3603</v>
      </c>
      <c r="FA2" t="s">
        <v>3622</v>
      </c>
      <c r="FB2" t="s">
        <v>3098</v>
      </c>
      <c r="FC2" t="s">
        <v>55</v>
      </c>
      <c r="FD2" t="s">
        <v>193</v>
      </c>
      <c r="FE2" t="s">
        <v>2330</v>
      </c>
      <c r="FF2" t="s">
        <v>423</v>
      </c>
      <c r="FG2" t="s">
        <v>194</v>
      </c>
      <c r="FH2" t="s">
        <v>195</v>
      </c>
      <c r="FI2" t="s">
        <v>2670</v>
      </c>
      <c r="FJ2">
        <v>1001003</v>
      </c>
      <c r="FK2" t="s">
        <v>54</v>
      </c>
      <c r="FL2" t="s">
        <v>189</v>
      </c>
      <c r="FM2" t="s">
        <v>2327</v>
      </c>
      <c r="FN2" t="s">
        <v>422</v>
      </c>
      <c r="FO2" t="s">
        <v>191</v>
      </c>
      <c r="FP2" t="s">
        <v>192</v>
      </c>
      <c r="FR2">
        <v>1001001</v>
      </c>
      <c r="FS2" t="s">
        <v>53</v>
      </c>
      <c r="FT2" t="s">
        <v>185</v>
      </c>
      <c r="FU2" t="s">
        <v>2324</v>
      </c>
      <c r="FV2" t="s">
        <v>421</v>
      </c>
      <c r="FW2" t="s">
        <v>187</v>
      </c>
      <c r="FX2" t="s">
        <v>188</v>
      </c>
      <c r="FZ2">
        <v>1001002</v>
      </c>
      <c r="GA2" t="s">
        <v>57</v>
      </c>
      <c r="GB2" t="s">
        <v>201</v>
      </c>
      <c r="GC2" t="s">
        <v>2336</v>
      </c>
      <c r="GD2" t="s">
        <v>425</v>
      </c>
      <c r="GE2" t="s">
        <v>202</v>
      </c>
      <c r="GF2" t="s">
        <v>203</v>
      </c>
      <c r="GH2">
        <v>1001004</v>
      </c>
      <c r="GI2" t="s">
        <v>62</v>
      </c>
      <c r="GJ2" t="s">
        <v>223</v>
      </c>
      <c r="GK2" t="s">
        <v>2351</v>
      </c>
      <c r="GL2" t="s">
        <v>430</v>
      </c>
      <c r="GM2" t="s">
        <v>3541</v>
      </c>
      <c r="GN2" t="s">
        <v>226</v>
      </c>
      <c r="GP2">
        <v>1001005</v>
      </c>
      <c r="GQ2" t="s">
        <v>64</v>
      </c>
      <c r="GR2" t="s">
        <v>231</v>
      </c>
      <c r="GS2" t="s">
        <v>2356</v>
      </c>
      <c r="GT2" t="s">
        <v>432</v>
      </c>
      <c r="GU2" t="s">
        <v>3533</v>
      </c>
      <c r="GV2" t="s">
        <v>234</v>
      </c>
      <c r="GX2">
        <v>1002011</v>
      </c>
      <c r="GY2" t="s">
        <v>65</v>
      </c>
      <c r="GZ2" t="s">
        <v>236</v>
      </c>
      <c r="HA2" t="s">
        <v>2359</v>
      </c>
      <c r="HB2" t="s">
        <v>433</v>
      </c>
      <c r="HC2" t="s">
        <v>238</v>
      </c>
      <c r="HD2" t="s">
        <v>239</v>
      </c>
      <c r="HF2">
        <v>1002012</v>
      </c>
      <c r="HG2" t="s">
        <v>61</v>
      </c>
      <c r="HH2" t="s">
        <v>218</v>
      </c>
      <c r="HI2" t="s">
        <v>2348</v>
      </c>
      <c r="HJ2" t="s">
        <v>429</v>
      </c>
      <c r="HK2" t="s">
        <v>220</v>
      </c>
      <c r="HL2" t="s">
        <v>221</v>
      </c>
      <c r="HN2">
        <v>1002016</v>
      </c>
      <c r="HO2" t="s">
        <v>58</v>
      </c>
      <c r="HP2" t="s">
        <v>204</v>
      </c>
      <c r="HQ2" t="s">
        <v>2339</v>
      </c>
      <c r="HR2" t="s">
        <v>426</v>
      </c>
      <c r="HS2" t="s">
        <v>206</v>
      </c>
      <c r="HT2" t="s">
        <v>207</v>
      </c>
      <c r="HV2">
        <v>1002017</v>
      </c>
      <c r="HW2" t="s">
        <v>59</v>
      </c>
      <c r="HX2" t="s">
        <v>209</v>
      </c>
      <c r="HY2" t="s">
        <v>2342</v>
      </c>
      <c r="HZ2" t="s">
        <v>427</v>
      </c>
      <c r="IA2" t="s">
        <v>211</v>
      </c>
      <c r="IB2" t="s">
        <v>212</v>
      </c>
      <c r="ID2">
        <v>1003022</v>
      </c>
      <c r="IE2" t="s">
        <v>52</v>
      </c>
      <c r="IF2" t="s">
        <v>180</v>
      </c>
      <c r="IG2" t="s">
        <v>2321</v>
      </c>
      <c r="IH2" t="s">
        <v>420</v>
      </c>
      <c r="II2" t="s">
        <v>182</v>
      </c>
      <c r="IJ2" t="s">
        <v>183</v>
      </c>
      <c r="IL2">
        <v>1003023</v>
      </c>
      <c r="IM2" t="s">
        <v>56</v>
      </c>
      <c r="IN2" t="s">
        <v>197</v>
      </c>
      <c r="IO2" t="s">
        <v>2333</v>
      </c>
      <c r="IP2" t="s">
        <v>424</v>
      </c>
      <c r="IQ2" t="s">
        <v>199</v>
      </c>
      <c r="IR2" t="s">
        <v>200</v>
      </c>
      <c r="IT2">
        <v>1004032</v>
      </c>
      <c r="IU2" t="s">
        <v>51</v>
      </c>
      <c r="IV2" t="s">
        <v>175</v>
      </c>
      <c r="IW2" t="s">
        <v>2318</v>
      </c>
      <c r="IX2" t="s">
        <v>419</v>
      </c>
      <c r="IY2" t="s">
        <v>177</v>
      </c>
      <c r="IZ2" t="s">
        <v>178</v>
      </c>
      <c r="JB2">
        <v>1004033</v>
      </c>
      <c r="JC2" t="s">
        <v>66</v>
      </c>
      <c r="JD2" t="s">
        <v>240</v>
      </c>
      <c r="JE2" t="s">
        <v>2360</v>
      </c>
      <c r="JF2" t="s">
        <v>434</v>
      </c>
      <c r="JG2" t="s">
        <v>242</v>
      </c>
      <c r="JH2" t="s">
        <v>243</v>
      </c>
      <c r="JJ2">
        <v>1005041</v>
      </c>
      <c r="JK2" t="s">
        <v>55</v>
      </c>
      <c r="JL2" t="s">
        <v>193</v>
      </c>
      <c r="JM2" t="s">
        <v>2330</v>
      </c>
      <c r="JN2" t="s">
        <v>423</v>
      </c>
      <c r="JO2" t="s">
        <v>194</v>
      </c>
      <c r="JP2" t="s">
        <v>195</v>
      </c>
      <c r="JQ2" t="s">
        <v>2670</v>
      </c>
      <c r="JR2">
        <v>1001003</v>
      </c>
      <c r="JS2" t="s">
        <v>54</v>
      </c>
      <c r="JT2" t="s">
        <v>189</v>
      </c>
      <c r="JU2" t="s">
        <v>2327</v>
      </c>
      <c r="JV2" t="s">
        <v>422</v>
      </c>
      <c r="JW2" t="s">
        <v>191</v>
      </c>
      <c r="JX2" t="s">
        <v>192</v>
      </c>
      <c r="JZ2">
        <v>1001001</v>
      </c>
      <c r="KA2" t="s">
        <v>53</v>
      </c>
      <c r="KB2" t="s">
        <v>185</v>
      </c>
      <c r="KC2" t="s">
        <v>2324</v>
      </c>
      <c r="KD2" t="s">
        <v>421</v>
      </c>
      <c r="KE2" t="s">
        <v>187</v>
      </c>
      <c r="KF2" t="s">
        <v>188</v>
      </c>
      <c r="KH2">
        <v>1001002</v>
      </c>
      <c r="KI2" t="s">
        <v>62</v>
      </c>
      <c r="KJ2" t="s">
        <v>223</v>
      </c>
      <c r="KK2" t="s">
        <v>2351</v>
      </c>
      <c r="KL2" t="s">
        <v>430</v>
      </c>
      <c r="KM2" t="s">
        <v>3546</v>
      </c>
      <c r="KN2" t="s">
        <v>226</v>
      </c>
      <c r="KP2">
        <v>1001005</v>
      </c>
      <c r="KQ2" t="s">
        <v>72</v>
      </c>
      <c r="KR2" t="s">
        <v>269</v>
      </c>
      <c r="KS2" t="s">
        <v>2420</v>
      </c>
      <c r="KT2" t="s">
        <v>458</v>
      </c>
      <c r="KU2" t="s">
        <v>271</v>
      </c>
      <c r="KV2" t="s">
        <v>272</v>
      </c>
      <c r="KX2">
        <v>1001006</v>
      </c>
      <c r="KY2" t="s">
        <v>64</v>
      </c>
      <c r="KZ2" t="s">
        <v>231</v>
      </c>
      <c r="LA2" t="s">
        <v>2356</v>
      </c>
      <c r="LB2" t="s">
        <v>432</v>
      </c>
      <c r="LC2" t="s">
        <v>3538</v>
      </c>
      <c r="LD2" t="s">
        <v>234</v>
      </c>
      <c r="LF2">
        <v>1002011</v>
      </c>
      <c r="LG2" t="s">
        <v>65</v>
      </c>
      <c r="LH2" t="s">
        <v>236</v>
      </c>
      <c r="LI2" t="s">
        <v>2359</v>
      </c>
      <c r="LJ2" t="s">
        <v>433</v>
      </c>
      <c r="LK2" t="s">
        <v>238</v>
      </c>
      <c r="LL2" t="s">
        <v>239</v>
      </c>
      <c r="LN2">
        <v>1002012</v>
      </c>
      <c r="LO2" t="s">
        <v>73</v>
      </c>
      <c r="LP2" t="s">
        <v>273</v>
      </c>
      <c r="LQ2" t="s">
        <v>2423</v>
      </c>
      <c r="LR2" t="s">
        <v>459</v>
      </c>
      <c r="LS2" t="s">
        <v>3597</v>
      </c>
      <c r="LT2" t="s">
        <v>276</v>
      </c>
      <c r="LV2">
        <v>1002013</v>
      </c>
      <c r="LW2" t="s">
        <v>68</v>
      </c>
      <c r="LX2" t="s">
        <v>249</v>
      </c>
      <c r="LY2" t="s">
        <v>2392</v>
      </c>
      <c r="LZ2" t="s">
        <v>454</v>
      </c>
      <c r="MA2" t="s">
        <v>251</v>
      </c>
      <c r="MB2" t="s">
        <v>252</v>
      </c>
      <c r="MD2">
        <v>1002014</v>
      </c>
      <c r="ME2" t="s">
        <v>60</v>
      </c>
      <c r="MF2" t="s">
        <v>214</v>
      </c>
      <c r="MG2" t="s">
        <v>2345</v>
      </c>
      <c r="MH2" t="s">
        <v>428</v>
      </c>
      <c r="MI2" t="s">
        <v>3536</v>
      </c>
      <c r="MJ2" t="s">
        <v>216</v>
      </c>
      <c r="ML2">
        <v>1002015</v>
      </c>
      <c r="MM2" t="s">
        <v>61</v>
      </c>
      <c r="MN2" t="s">
        <v>218</v>
      </c>
      <c r="MO2" t="s">
        <v>2348</v>
      </c>
      <c r="MP2" t="s">
        <v>429</v>
      </c>
      <c r="MQ2" t="s">
        <v>220</v>
      </c>
      <c r="MR2" t="s">
        <v>221</v>
      </c>
      <c r="MT2">
        <v>1002016</v>
      </c>
      <c r="MU2" t="s">
        <v>58</v>
      </c>
      <c r="MV2" t="s">
        <v>204</v>
      </c>
      <c r="MW2" t="s">
        <v>2339</v>
      </c>
      <c r="MX2" t="s">
        <v>426</v>
      </c>
      <c r="MY2" t="s">
        <v>206</v>
      </c>
      <c r="MZ2" t="s">
        <v>207</v>
      </c>
      <c r="NB2">
        <v>1002017</v>
      </c>
      <c r="NC2" t="s">
        <v>75</v>
      </c>
      <c r="ND2" t="s">
        <v>281</v>
      </c>
      <c r="NE2" t="s">
        <v>2430</v>
      </c>
      <c r="NF2" t="s">
        <v>461</v>
      </c>
      <c r="NG2" t="s">
        <v>283</v>
      </c>
      <c r="NH2" t="s">
        <v>284</v>
      </c>
      <c r="NJ2">
        <v>1002018</v>
      </c>
      <c r="NK2" t="s">
        <v>78</v>
      </c>
      <c r="NL2" t="s">
        <v>294</v>
      </c>
      <c r="NM2" t="s">
        <v>2442</v>
      </c>
      <c r="NN2" t="s">
        <v>464</v>
      </c>
      <c r="NO2" t="s">
        <v>3593</v>
      </c>
      <c r="NP2" t="s">
        <v>296</v>
      </c>
      <c r="NR2">
        <v>1003021</v>
      </c>
      <c r="NS2" t="s">
        <v>59</v>
      </c>
      <c r="NT2" t="s">
        <v>209</v>
      </c>
      <c r="NU2" t="s">
        <v>2342</v>
      </c>
      <c r="NV2" t="s">
        <v>427</v>
      </c>
      <c r="NW2" t="s">
        <v>211</v>
      </c>
      <c r="NX2" t="s">
        <v>212</v>
      </c>
      <c r="NZ2">
        <v>1003022</v>
      </c>
      <c r="OA2" t="s">
        <v>52</v>
      </c>
      <c r="OB2" t="s">
        <v>180</v>
      </c>
      <c r="OC2" t="s">
        <v>2321</v>
      </c>
      <c r="OD2" t="s">
        <v>420</v>
      </c>
      <c r="OE2" t="s">
        <v>182</v>
      </c>
      <c r="OF2" t="s">
        <v>183</v>
      </c>
      <c r="OH2">
        <v>1003023</v>
      </c>
      <c r="OI2" t="s">
        <v>69</v>
      </c>
      <c r="OJ2" t="s">
        <v>253</v>
      </c>
      <c r="OK2" t="s">
        <v>2395</v>
      </c>
      <c r="OL2" t="s">
        <v>3413</v>
      </c>
      <c r="OM2" t="s">
        <v>3412</v>
      </c>
      <c r="ON2" t="s">
        <v>256</v>
      </c>
      <c r="OP2">
        <v>1003024</v>
      </c>
      <c r="OQ2" t="s">
        <v>79</v>
      </c>
      <c r="OR2" t="s">
        <v>297</v>
      </c>
      <c r="OS2" t="s">
        <v>2445</v>
      </c>
      <c r="OT2" t="s">
        <v>445</v>
      </c>
      <c r="OU2" t="s">
        <v>299</v>
      </c>
      <c r="OV2" t="s">
        <v>300</v>
      </c>
      <c r="OX2">
        <v>1003025</v>
      </c>
      <c r="OY2" t="s">
        <v>80</v>
      </c>
      <c r="OZ2" t="s">
        <v>302</v>
      </c>
      <c r="PA2" t="s">
        <v>2448</v>
      </c>
      <c r="PB2" t="s">
        <v>465</v>
      </c>
      <c r="PC2" t="s">
        <v>304</v>
      </c>
      <c r="PD2" t="s">
        <v>305</v>
      </c>
      <c r="PF2">
        <v>1004031</v>
      </c>
      <c r="PG2" t="s">
        <v>56</v>
      </c>
      <c r="PH2" t="s">
        <v>197</v>
      </c>
      <c r="PI2" t="s">
        <v>2333</v>
      </c>
      <c r="PJ2" t="s">
        <v>424</v>
      </c>
      <c r="PK2" t="s">
        <v>199</v>
      </c>
      <c r="PL2" t="s">
        <v>200</v>
      </c>
      <c r="PN2">
        <v>1004032</v>
      </c>
      <c r="PO2" t="s">
        <v>51</v>
      </c>
      <c r="PP2" t="s">
        <v>175</v>
      </c>
      <c r="PQ2" t="s">
        <v>2318</v>
      </c>
      <c r="PR2" t="s">
        <v>419</v>
      </c>
      <c r="PS2" t="s">
        <v>177</v>
      </c>
      <c r="PT2" t="s">
        <v>178</v>
      </c>
      <c r="PV2">
        <v>1004033</v>
      </c>
      <c r="PW2" t="s">
        <v>67</v>
      </c>
      <c r="PX2" t="s">
        <v>245</v>
      </c>
      <c r="PY2" t="s">
        <v>2387</v>
      </c>
      <c r="PZ2" t="s">
        <v>453</v>
      </c>
      <c r="QA2" t="s">
        <v>247</v>
      </c>
      <c r="QB2" t="s">
        <v>248</v>
      </c>
      <c r="QD2">
        <v>1004034</v>
      </c>
      <c r="QE2" t="s">
        <v>81</v>
      </c>
      <c r="QF2" t="s">
        <v>307</v>
      </c>
      <c r="QG2" t="s">
        <v>2449</v>
      </c>
      <c r="QH2" t="s">
        <v>466</v>
      </c>
      <c r="QI2" t="s">
        <v>309</v>
      </c>
      <c r="QJ2" t="s">
        <v>310</v>
      </c>
      <c r="QL2">
        <v>1004036</v>
      </c>
      <c r="QM2" t="s">
        <v>66</v>
      </c>
      <c r="QN2" t="s">
        <v>240</v>
      </c>
      <c r="QO2" t="s">
        <v>2360</v>
      </c>
      <c r="QP2" t="s">
        <v>434</v>
      </c>
      <c r="QQ2" t="s">
        <v>242</v>
      </c>
      <c r="QR2" t="s">
        <v>243</v>
      </c>
      <c r="QT2">
        <v>1005041</v>
      </c>
      <c r="QU2" t="s">
        <v>71</v>
      </c>
      <c r="QV2" t="s">
        <v>264</v>
      </c>
      <c r="QW2" t="s">
        <v>2417</v>
      </c>
      <c r="QX2" t="s">
        <v>457</v>
      </c>
      <c r="QY2" t="s">
        <v>266</v>
      </c>
      <c r="QZ2" t="s">
        <v>267</v>
      </c>
      <c r="RB2">
        <v>1005043</v>
      </c>
      <c r="RC2" t="s">
        <v>77</v>
      </c>
      <c r="RD2" t="s">
        <v>290</v>
      </c>
      <c r="RE2" t="s">
        <v>2435</v>
      </c>
      <c r="RF2" t="s">
        <v>463</v>
      </c>
      <c r="RG2" t="s">
        <v>292</v>
      </c>
      <c r="RH2" t="s">
        <v>293</v>
      </c>
      <c r="RJ2">
        <v>1005044</v>
      </c>
      <c r="RK2" t="s">
        <v>102</v>
      </c>
      <c r="RL2" t="s">
        <v>392</v>
      </c>
      <c r="RM2" t="s">
        <v>489</v>
      </c>
      <c r="RN2" t="s">
        <v>2484</v>
      </c>
      <c r="RO2" t="s">
        <v>394</v>
      </c>
      <c r="RP2" t="s">
        <v>395</v>
      </c>
      <c r="RR2">
        <v>2001001</v>
      </c>
      <c r="RS2" t="s">
        <v>107</v>
      </c>
      <c r="RT2" t="s">
        <v>412</v>
      </c>
      <c r="RU2" t="s">
        <v>494</v>
      </c>
      <c r="RV2" t="s">
        <v>2489</v>
      </c>
      <c r="RW2" t="s">
        <v>414</v>
      </c>
      <c r="RX2" t="s">
        <v>415</v>
      </c>
      <c r="RZ2">
        <v>2001002</v>
      </c>
      <c r="SA2" t="s">
        <v>104</v>
      </c>
      <c r="SB2" t="s">
        <v>400</v>
      </c>
      <c r="SC2" t="s">
        <v>491</v>
      </c>
      <c r="SD2" t="s">
        <v>2486</v>
      </c>
      <c r="SE2" t="s">
        <v>402</v>
      </c>
      <c r="SF2" t="s">
        <v>403</v>
      </c>
      <c r="SH2">
        <v>2001003</v>
      </c>
      <c r="SI2" t="s">
        <v>72</v>
      </c>
      <c r="SJ2" t="s">
        <v>269</v>
      </c>
      <c r="SK2" t="s">
        <v>458</v>
      </c>
      <c r="SL2" t="s">
        <v>2420</v>
      </c>
      <c r="SM2" t="s">
        <v>271</v>
      </c>
      <c r="SN2" t="s">
        <v>272</v>
      </c>
      <c r="SP2">
        <v>2001004</v>
      </c>
      <c r="SQ2" t="s">
        <v>89</v>
      </c>
      <c r="SR2" t="s">
        <v>340</v>
      </c>
      <c r="SS2" t="s">
        <v>476</v>
      </c>
      <c r="ST2" t="s">
        <v>2473</v>
      </c>
      <c r="SU2" t="s">
        <v>342</v>
      </c>
      <c r="SV2" t="s">
        <v>343</v>
      </c>
      <c r="SX2">
        <v>2001005</v>
      </c>
      <c r="SY2" t="s">
        <v>103</v>
      </c>
      <c r="SZ2" t="s">
        <v>396</v>
      </c>
      <c r="TA2" t="s">
        <v>490</v>
      </c>
      <c r="TB2" t="s">
        <v>2485</v>
      </c>
      <c r="TC2" t="s">
        <v>398</v>
      </c>
      <c r="TD2" t="s">
        <v>399</v>
      </c>
      <c r="TF2">
        <v>2001006</v>
      </c>
      <c r="TG2" t="s">
        <v>95</v>
      </c>
      <c r="TH2" t="s">
        <v>365</v>
      </c>
      <c r="TI2" t="s">
        <v>482</v>
      </c>
      <c r="TJ2" t="s">
        <v>2478</v>
      </c>
      <c r="TK2" t="s">
        <v>367</v>
      </c>
      <c r="TL2" t="s">
        <v>368</v>
      </c>
      <c r="TN2">
        <v>2001007</v>
      </c>
      <c r="TO2" t="s">
        <v>62</v>
      </c>
      <c r="TP2" t="s">
        <v>223</v>
      </c>
      <c r="TQ2" t="s">
        <v>430</v>
      </c>
      <c r="TR2" t="s">
        <v>2351</v>
      </c>
      <c r="TS2" t="s">
        <v>3569</v>
      </c>
      <c r="TT2" t="s">
        <v>226</v>
      </c>
      <c r="TV2">
        <v>2001007</v>
      </c>
      <c r="TW2" t="s">
        <v>53</v>
      </c>
      <c r="TX2" t="s">
        <v>185</v>
      </c>
      <c r="TY2" t="s">
        <v>421</v>
      </c>
      <c r="TZ2" t="s">
        <v>2324</v>
      </c>
      <c r="UA2" t="s">
        <v>3571</v>
      </c>
      <c r="UB2" t="s">
        <v>188</v>
      </c>
      <c r="UD2">
        <v>2001008</v>
      </c>
      <c r="UE2" t="s">
        <v>88</v>
      </c>
      <c r="UF2" t="s">
        <v>336</v>
      </c>
      <c r="UG2" t="s">
        <v>475</v>
      </c>
      <c r="UH2" t="s">
        <v>2472</v>
      </c>
      <c r="UI2" t="s">
        <v>338</v>
      </c>
      <c r="UJ2" t="s">
        <v>339</v>
      </c>
      <c r="UL2">
        <v>2002011</v>
      </c>
      <c r="UM2" t="s">
        <v>100</v>
      </c>
      <c r="UN2" t="s">
        <v>384</v>
      </c>
      <c r="UO2" t="s">
        <v>487</v>
      </c>
      <c r="UP2" t="s">
        <v>2483</v>
      </c>
      <c r="UQ2" t="s">
        <v>385</v>
      </c>
      <c r="UR2" t="s">
        <v>386</v>
      </c>
      <c r="UT2">
        <v>2002012</v>
      </c>
      <c r="UU2" t="s">
        <v>93</v>
      </c>
      <c r="UV2" t="s">
        <v>355</v>
      </c>
      <c r="UW2" t="s">
        <v>480</v>
      </c>
      <c r="UX2" t="s">
        <v>2476</v>
      </c>
      <c r="UY2" t="s">
        <v>357</v>
      </c>
      <c r="UZ2" t="s">
        <v>358</v>
      </c>
      <c r="VB2">
        <v>2002014</v>
      </c>
      <c r="VC2" t="s">
        <v>78</v>
      </c>
      <c r="VD2" t="s">
        <v>294</v>
      </c>
      <c r="VE2" t="s">
        <v>464</v>
      </c>
      <c r="VF2" t="s">
        <v>2442</v>
      </c>
      <c r="VG2" t="s">
        <v>3599</v>
      </c>
      <c r="VH2" t="s">
        <v>296</v>
      </c>
      <c r="VJ2">
        <v>2002015</v>
      </c>
      <c r="VK2" t="s">
        <v>73</v>
      </c>
      <c r="VL2" t="s">
        <v>273</v>
      </c>
      <c r="VM2" t="s">
        <v>459</v>
      </c>
      <c r="VN2" t="s">
        <v>2423</v>
      </c>
      <c r="VO2" t="s">
        <v>3595</v>
      </c>
      <c r="VP2" t="s">
        <v>276</v>
      </c>
      <c r="VR2">
        <v>2002016</v>
      </c>
      <c r="VS2" t="s">
        <v>106</v>
      </c>
      <c r="VT2" t="s">
        <v>408</v>
      </c>
      <c r="VU2" t="s">
        <v>493</v>
      </c>
      <c r="VV2" t="s">
        <v>2488</v>
      </c>
      <c r="VW2" t="s">
        <v>410</v>
      </c>
      <c r="VX2" t="s">
        <v>411</v>
      </c>
      <c r="VZ2">
        <v>2002017</v>
      </c>
      <c r="WA2" t="s">
        <v>83</v>
      </c>
      <c r="WB2" t="s">
        <v>316</v>
      </c>
      <c r="WC2" t="s">
        <v>470</v>
      </c>
      <c r="WD2" t="s">
        <v>2467</v>
      </c>
      <c r="WE2" t="s">
        <v>318</v>
      </c>
      <c r="WF2" t="s">
        <v>319</v>
      </c>
      <c r="WH2">
        <v>2002018</v>
      </c>
      <c r="WI2" t="s">
        <v>64</v>
      </c>
      <c r="WJ2" t="s">
        <v>231</v>
      </c>
      <c r="WK2" t="s">
        <v>432</v>
      </c>
      <c r="WL2" t="s">
        <v>2356</v>
      </c>
      <c r="WM2" t="s">
        <v>3576</v>
      </c>
      <c r="WN2" t="s">
        <v>234</v>
      </c>
      <c r="WP2">
        <v>2002019</v>
      </c>
      <c r="WQ2" t="s">
        <v>90</v>
      </c>
      <c r="WR2" t="s">
        <v>344</v>
      </c>
      <c r="WS2" t="s">
        <v>477</v>
      </c>
      <c r="WT2" t="s">
        <v>2474</v>
      </c>
      <c r="WU2" t="s">
        <v>346</v>
      </c>
      <c r="WV2" t="s">
        <v>347</v>
      </c>
      <c r="WX2">
        <v>2003021</v>
      </c>
      <c r="WY2" t="s">
        <v>87</v>
      </c>
      <c r="WZ2" t="s">
        <v>332</v>
      </c>
      <c r="XA2" t="s">
        <v>474</v>
      </c>
      <c r="XB2" t="s">
        <v>2471</v>
      </c>
      <c r="XC2" t="s">
        <v>334</v>
      </c>
      <c r="XD2" t="s">
        <v>335</v>
      </c>
      <c r="XF2">
        <v>2003022</v>
      </c>
      <c r="XG2" t="s">
        <v>96</v>
      </c>
      <c r="XH2" t="s">
        <v>369</v>
      </c>
      <c r="XI2" t="s">
        <v>483</v>
      </c>
      <c r="XJ2" t="s">
        <v>2479</v>
      </c>
      <c r="XK2" t="s">
        <v>371</v>
      </c>
      <c r="XL2" t="s">
        <v>372</v>
      </c>
      <c r="XN2">
        <v>2003023</v>
      </c>
      <c r="XO2" t="s">
        <v>94</v>
      </c>
      <c r="XP2" t="s">
        <v>360</v>
      </c>
      <c r="XQ2" t="s">
        <v>481</v>
      </c>
      <c r="XR2" t="s">
        <v>2477</v>
      </c>
      <c r="XS2" t="s">
        <v>362</v>
      </c>
      <c r="XT2" t="s">
        <v>363</v>
      </c>
      <c r="XV2">
        <v>2003025</v>
      </c>
      <c r="XW2" t="s">
        <v>84</v>
      </c>
      <c r="XX2" t="s">
        <v>320</v>
      </c>
      <c r="XY2" t="s">
        <v>471</v>
      </c>
      <c r="XZ2" t="s">
        <v>2468</v>
      </c>
      <c r="YA2" t="s">
        <v>322</v>
      </c>
      <c r="YB2" t="s">
        <v>323</v>
      </c>
      <c r="YD2">
        <v>2003026</v>
      </c>
      <c r="YE2" t="s">
        <v>85</v>
      </c>
      <c r="YF2" t="s">
        <v>324</v>
      </c>
      <c r="YG2" t="s">
        <v>472</v>
      </c>
      <c r="YH2" t="s">
        <v>2469</v>
      </c>
      <c r="YI2" t="s">
        <v>326</v>
      </c>
      <c r="YJ2" t="s">
        <v>327</v>
      </c>
      <c r="YL2">
        <v>2003027</v>
      </c>
      <c r="YM2" t="s">
        <v>86</v>
      </c>
      <c r="YN2" t="s">
        <v>328</v>
      </c>
      <c r="YO2" t="s">
        <v>473</v>
      </c>
      <c r="YP2" t="s">
        <v>2470</v>
      </c>
      <c r="YQ2" t="s">
        <v>330</v>
      </c>
      <c r="YR2" t="s">
        <v>331</v>
      </c>
      <c r="YT2">
        <v>2003028</v>
      </c>
      <c r="YU2" t="s">
        <v>98</v>
      </c>
      <c r="YV2" t="s">
        <v>376</v>
      </c>
      <c r="YW2" t="s">
        <v>485</v>
      </c>
      <c r="YX2" t="s">
        <v>2481</v>
      </c>
      <c r="YY2" t="s">
        <v>378</v>
      </c>
      <c r="YZ2" t="s">
        <v>379</v>
      </c>
      <c r="ZB2">
        <v>2003029</v>
      </c>
      <c r="ZC2" t="s">
        <v>105</v>
      </c>
      <c r="ZD2" t="s">
        <v>404</v>
      </c>
      <c r="ZE2" t="s">
        <v>492</v>
      </c>
      <c r="ZF2" t="s">
        <v>2487</v>
      </c>
      <c r="ZG2" t="s">
        <v>406</v>
      </c>
      <c r="ZH2" t="s">
        <v>407</v>
      </c>
      <c r="ZJ2">
        <v>2004031</v>
      </c>
      <c r="ZK2" t="s">
        <v>69</v>
      </c>
      <c r="ZL2" t="s">
        <v>253</v>
      </c>
      <c r="ZM2" t="s">
        <v>3423</v>
      </c>
      <c r="ZN2" t="s">
        <v>2395</v>
      </c>
      <c r="ZO2" t="s">
        <v>3558</v>
      </c>
      <c r="ZP2" t="s">
        <v>256</v>
      </c>
      <c r="ZR2">
        <v>2004032</v>
      </c>
      <c r="ZS2" t="s">
        <v>70</v>
      </c>
      <c r="ZT2" t="s">
        <v>257</v>
      </c>
      <c r="ZU2" t="s">
        <v>456</v>
      </c>
      <c r="ZV2" t="s">
        <v>2398</v>
      </c>
      <c r="ZW2" t="s">
        <v>259</v>
      </c>
      <c r="ZX2" t="s">
        <v>260</v>
      </c>
      <c r="ZZ2">
        <v>2004033</v>
      </c>
      <c r="AAA2" t="s">
        <v>99</v>
      </c>
      <c r="AAB2" t="s">
        <v>380</v>
      </c>
      <c r="AAC2" t="s">
        <v>486</v>
      </c>
      <c r="AAD2" t="s">
        <v>2482</v>
      </c>
      <c r="AAE2" t="s">
        <v>382</v>
      </c>
      <c r="AAF2" t="s">
        <v>383</v>
      </c>
      <c r="AAH2">
        <v>2004036</v>
      </c>
      <c r="AAI2" t="s">
        <v>97</v>
      </c>
      <c r="AAJ2" t="s">
        <v>373</v>
      </c>
      <c r="AAK2" t="s">
        <v>484</v>
      </c>
      <c r="AAL2" t="s">
        <v>2480</v>
      </c>
      <c r="AAM2" t="s">
        <v>374</v>
      </c>
      <c r="AAN2" t="s">
        <v>375</v>
      </c>
      <c r="AAP2">
        <v>2004037</v>
      </c>
      <c r="AAQ2" t="s">
        <v>82</v>
      </c>
      <c r="AAR2" t="s">
        <v>312</v>
      </c>
      <c r="AAS2" t="s">
        <v>469</v>
      </c>
      <c r="AAT2" t="s">
        <v>2466</v>
      </c>
      <c r="AAU2" t="s">
        <v>314</v>
      </c>
      <c r="AAV2" t="s">
        <v>315</v>
      </c>
      <c r="AAX2">
        <v>2005042</v>
      </c>
      <c r="AAY2" t="s">
        <v>92</v>
      </c>
      <c r="AAZ2" t="s">
        <v>351</v>
      </c>
      <c r="ABA2" t="s">
        <v>479</v>
      </c>
      <c r="ABB2" t="s">
        <v>2475</v>
      </c>
      <c r="ABC2" t="s">
        <v>353</v>
      </c>
      <c r="ABD2" t="s">
        <v>354</v>
      </c>
      <c r="ABF2">
        <v>2005043</v>
      </c>
      <c r="ABG2" t="s">
        <v>108</v>
      </c>
      <c r="ABH2" t="s">
        <v>164</v>
      </c>
      <c r="ABI2" t="s">
        <v>2296</v>
      </c>
      <c r="ABJ2" t="s">
        <v>109</v>
      </c>
      <c r="ABK2" t="s">
        <v>165</v>
      </c>
      <c r="ABL2" t="s">
        <v>2298</v>
      </c>
      <c r="ABM2" t="s">
        <v>110</v>
      </c>
      <c r="ABN2" t="s">
        <v>166</v>
      </c>
      <c r="ABO2" t="s">
        <v>2300</v>
      </c>
      <c r="ABP2" t="s">
        <v>111</v>
      </c>
      <c r="ABQ2" t="s">
        <v>167</v>
      </c>
      <c r="ABR2" t="s">
        <v>2302</v>
      </c>
      <c r="ABS2" t="s">
        <v>112</v>
      </c>
      <c r="ABT2" t="s">
        <v>168</v>
      </c>
      <c r="ABU2" t="s">
        <v>2304</v>
      </c>
      <c r="ABV2" t="s">
        <v>129</v>
      </c>
      <c r="ABW2" t="s">
        <v>169</v>
      </c>
      <c r="ABX2" t="s">
        <v>2306</v>
      </c>
      <c r="ABY2" t="s">
        <v>113</v>
      </c>
      <c r="ABZ2" t="s">
        <v>170</v>
      </c>
      <c r="ACA2" t="s">
        <v>2308</v>
      </c>
      <c r="ACB2" t="s">
        <v>114</v>
      </c>
      <c r="ACC2" t="s">
        <v>2671</v>
      </c>
      <c r="ACD2" t="s">
        <v>2672</v>
      </c>
      <c r="ACE2" t="s">
        <v>115</v>
      </c>
      <c r="ACF2" t="s">
        <v>171</v>
      </c>
      <c r="ACG2" t="s">
        <v>2311</v>
      </c>
      <c r="ACH2" t="s">
        <v>116</v>
      </c>
      <c r="ACI2" t="s">
        <v>172</v>
      </c>
      <c r="ACJ2" t="s">
        <v>2313</v>
      </c>
      <c r="ACK2" t="s">
        <v>117</v>
      </c>
      <c r="ACL2" t="s">
        <v>173</v>
      </c>
      <c r="ACM2" t="s">
        <v>2315</v>
      </c>
      <c r="ACN2" t="s">
        <v>118</v>
      </c>
      <c r="ACO2" t="s">
        <v>174</v>
      </c>
      <c r="ACP2" t="s">
        <v>2317</v>
      </c>
      <c r="ACQ2" t="s">
        <v>108</v>
      </c>
      <c r="ACR2" t="s">
        <v>435</v>
      </c>
      <c r="ACS2" t="s">
        <v>2362</v>
      </c>
      <c r="ACT2" t="s">
        <v>109</v>
      </c>
      <c r="ACU2" t="s">
        <v>436</v>
      </c>
      <c r="ACV2" t="s">
        <v>2364</v>
      </c>
      <c r="ACW2" t="s">
        <v>110</v>
      </c>
      <c r="ACX2" t="s">
        <v>437</v>
      </c>
      <c r="ACY2" t="s">
        <v>2366</v>
      </c>
      <c r="ACZ2" t="s">
        <v>129</v>
      </c>
      <c r="ADA2" t="s">
        <v>438</v>
      </c>
      <c r="ADB2" t="s">
        <v>2368</v>
      </c>
      <c r="ADC2" t="s">
        <v>111</v>
      </c>
      <c r="ADD2" t="s">
        <v>439</v>
      </c>
      <c r="ADE2" t="s">
        <v>2370</v>
      </c>
      <c r="ADF2" t="s">
        <v>112</v>
      </c>
      <c r="ADG2" t="s">
        <v>440</v>
      </c>
      <c r="ADH2" t="s">
        <v>2372</v>
      </c>
      <c r="ADI2" t="s">
        <v>116</v>
      </c>
      <c r="ADJ2" t="s">
        <v>441</v>
      </c>
      <c r="ADK2" t="s">
        <v>2374</v>
      </c>
      <c r="ADL2" t="s">
        <v>117</v>
      </c>
      <c r="ADM2" t="s">
        <v>442</v>
      </c>
      <c r="ADN2" t="s">
        <v>2376</v>
      </c>
      <c r="ADO2" t="s">
        <v>113</v>
      </c>
      <c r="ADP2" t="s">
        <v>443</v>
      </c>
      <c r="ADQ2" t="s">
        <v>2378</v>
      </c>
      <c r="ADR2" t="s">
        <v>130</v>
      </c>
      <c r="ADS2" t="s">
        <v>444</v>
      </c>
      <c r="ADT2" t="s">
        <v>2380</v>
      </c>
      <c r="ADU2" t="s">
        <v>131</v>
      </c>
      <c r="ADV2" t="s">
        <v>445</v>
      </c>
      <c r="ADW2" t="s">
        <v>2382</v>
      </c>
      <c r="ADX2" t="s">
        <v>118</v>
      </c>
      <c r="ADY2" t="s">
        <v>446</v>
      </c>
      <c r="ADZ2" t="s">
        <v>2384</v>
      </c>
      <c r="AEA2" t="s">
        <v>108</v>
      </c>
      <c r="AEB2" t="s">
        <v>2450</v>
      </c>
      <c r="AEC2" t="s">
        <v>2452</v>
      </c>
      <c r="AEE2" t="s">
        <v>109</v>
      </c>
      <c r="AEF2" t="s">
        <v>2453</v>
      </c>
      <c r="AEG2" t="s">
        <v>2455</v>
      </c>
      <c r="AEI2" t="s">
        <v>110</v>
      </c>
      <c r="AEJ2" t="s">
        <v>2456</v>
      </c>
      <c r="AEK2" t="s">
        <v>2458</v>
      </c>
      <c r="AEM2" t="s">
        <v>113</v>
      </c>
      <c r="AEN2" t="s">
        <v>2459</v>
      </c>
      <c r="AEO2" t="s">
        <v>2461</v>
      </c>
      <c r="AEQ2" t="s">
        <v>158</v>
      </c>
      <c r="AER2" t="s">
        <v>2462</v>
      </c>
      <c r="AES2" t="s">
        <v>467</v>
      </c>
      <c r="AEU2" t="s">
        <v>159</v>
      </c>
      <c r="AEV2" t="s">
        <v>2464</v>
      </c>
      <c r="AEW2" t="s">
        <v>468</v>
      </c>
      <c r="AEY2" t="s">
        <v>3244</v>
      </c>
      <c r="AEZ2" t="s">
        <v>3266</v>
      </c>
      <c r="AFA2" t="s">
        <v>3253</v>
      </c>
      <c r="AFC2" t="s">
        <v>3245</v>
      </c>
      <c r="AFD2" t="s">
        <v>3268</v>
      </c>
      <c r="AFE2" t="s">
        <v>3254</v>
      </c>
      <c r="AFG2" t="s">
        <v>3246</v>
      </c>
      <c r="AFH2" t="s">
        <v>3270</v>
      </c>
      <c r="AFI2" t="s">
        <v>3255</v>
      </c>
      <c r="AFK2" t="s">
        <v>3241</v>
      </c>
      <c r="AFL2" t="s">
        <v>3242</v>
      </c>
      <c r="AFM2" t="s">
        <v>3256</v>
      </c>
      <c r="AFO2" t="s">
        <v>116</v>
      </c>
      <c r="AFP2" t="s">
        <v>3273</v>
      </c>
      <c r="AFQ2" t="s">
        <v>3257</v>
      </c>
      <c r="AFS2" t="s">
        <v>3247</v>
      </c>
      <c r="AFT2" t="s">
        <v>3275</v>
      </c>
      <c r="AFU2" t="s">
        <v>3258</v>
      </c>
      <c r="AFW2" t="s">
        <v>3248</v>
      </c>
      <c r="AFX2" t="s">
        <v>3277</v>
      </c>
      <c r="AFY2" t="s">
        <v>3259</v>
      </c>
      <c r="AGA2" t="s">
        <v>3249</v>
      </c>
      <c r="AGB2" t="s">
        <v>3279</v>
      </c>
      <c r="AGC2" t="s">
        <v>3260</v>
      </c>
      <c r="AGE2" t="s">
        <v>3250</v>
      </c>
      <c r="AGF2" t="s">
        <v>3281</v>
      </c>
      <c r="AGG2" t="s">
        <v>3261</v>
      </c>
      <c r="AGI2" t="s">
        <v>3251</v>
      </c>
      <c r="AGJ2" t="s">
        <v>3283</v>
      </c>
      <c r="AGK2" t="s">
        <v>3262</v>
      </c>
      <c r="AGM2" t="s">
        <v>3252</v>
      </c>
      <c r="AGN2" t="s">
        <v>3285</v>
      </c>
      <c r="AGO2" t="s">
        <v>3263</v>
      </c>
      <c r="AGQ2" t="s">
        <v>108</v>
      </c>
      <c r="AGR2" t="s">
        <v>164</v>
      </c>
      <c r="AGS2" t="s">
        <v>109</v>
      </c>
      <c r="AGT2" t="s">
        <v>165</v>
      </c>
      <c r="AGU2" t="s">
        <v>110</v>
      </c>
      <c r="AGV2" t="s">
        <v>166</v>
      </c>
      <c r="AGW2" t="s">
        <v>111</v>
      </c>
      <c r="AGX2" t="s">
        <v>167</v>
      </c>
      <c r="AGY2" t="s">
        <v>112</v>
      </c>
      <c r="AGZ2" t="s">
        <v>168</v>
      </c>
      <c r="AHA2" t="s">
        <v>129</v>
      </c>
      <c r="AHB2" t="s">
        <v>169</v>
      </c>
      <c r="AHC2" t="s">
        <v>113</v>
      </c>
      <c r="AHD2" t="s">
        <v>170</v>
      </c>
      <c r="AHE2" t="s">
        <v>114</v>
      </c>
      <c r="AHF2" t="s">
        <v>2671</v>
      </c>
      <c r="AHG2" t="s">
        <v>115</v>
      </c>
      <c r="AHH2" t="s">
        <v>171</v>
      </c>
      <c r="AHI2" t="s">
        <v>116</v>
      </c>
      <c r="AHJ2" t="s">
        <v>172</v>
      </c>
      <c r="AHK2" t="s">
        <v>117</v>
      </c>
      <c r="AHL2" t="s">
        <v>173</v>
      </c>
      <c r="AHM2" t="s">
        <v>118</v>
      </c>
      <c r="AHN2" t="s">
        <v>174</v>
      </c>
      <c r="AHO2" t="s">
        <v>108</v>
      </c>
      <c r="AHP2" t="s">
        <v>435</v>
      </c>
      <c r="AHQ2" t="s">
        <v>109</v>
      </c>
      <c r="AHR2" t="s">
        <v>436</v>
      </c>
      <c r="AHS2" t="s">
        <v>110</v>
      </c>
      <c r="AHT2" t="s">
        <v>437</v>
      </c>
      <c r="AHU2" t="s">
        <v>129</v>
      </c>
      <c r="AHV2" t="s">
        <v>438</v>
      </c>
      <c r="AHW2" t="s">
        <v>111</v>
      </c>
      <c r="AHX2" t="s">
        <v>439</v>
      </c>
      <c r="AHY2" t="s">
        <v>112</v>
      </c>
      <c r="AHZ2" t="s">
        <v>440</v>
      </c>
      <c r="AIA2" t="s">
        <v>116</v>
      </c>
      <c r="AIB2" t="s">
        <v>441</v>
      </c>
      <c r="AIC2" t="s">
        <v>117</v>
      </c>
      <c r="AID2" t="s">
        <v>442</v>
      </c>
      <c r="AIE2" t="s">
        <v>113</v>
      </c>
      <c r="AIF2" t="s">
        <v>443</v>
      </c>
      <c r="AIG2" t="s">
        <v>130</v>
      </c>
      <c r="AIH2" t="s">
        <v>444</v>
      </c>
      <c r="AII2" t="s">
        <v>131</v>
      </c>
      <c r="AIJ2" t="s">
        <v>445</v>
      </c>
      <c r="AIK2" t="s">
        <v>118</v>
      </c>
      <c r="AIL2" t="s">
        <v>446</v>
      </c>
      <c r="AIM2" t="s">
        <v>108</v>
      </c>
      <c r="AIN2" t="s">
        <v>2450</v>
      </c>
      <c r="AIO2" t="s">
        <v>109</v>
      </c>
      <c r="AIP2" t="s">
        <v>2453</v>
      </c>
      <c r="AIQ2" t="s">
        <v>110</v>
      </c>
      <c r="AIR2" t="s">
        <v>2456</v>
      </c>
      <c r="AIS2" t="s">
        <v>113</v>
      </c>
      <c r="AIT2" t="s">
        <v>2459</v>
      </c>
      <c r="AIU2" t="s">
        <v>158</v>
      </c>
      <c r="AIV2" t="s">
        <v>2462</v>
      </c>
      <c r="AIW2" t="s">
        <v>159</v>
      </c>
      <c r="AIX2" t="s">
        <v>2464</v>
      </c>
      <c r="AIY2" t="s">
        <v>111</v>
      </c>
      <c r="AIZ2" t="s">
        <v>3425</v>
      </c>
      <c r="AJA2" t="s">
        <v>2770</v>
      </c>
      <c r="AJB2" t="s">
        <v>417</v>
      </c>
      <c r="AJC2" t="s">
        <v>2773</v>
      </c>
      <c r="AJD2" t="s">
        <v>418</v>
      </c>
      <c r="AJE2" t="s">
        <v>2776</v>
      </c>
      <c r="AJF2" t="s">
        <v>3436</v>
      </c>
      <c r="AJG2" t="s">
        <v>2779</v>
      </c>
      <c r="AJH2" t="s">
        <v>3437</v>
      </c>
      <c r="AJI2" t="s">
        <v>3233</v>
      </c>
      <c r="AJJ2" t="s">
        <v>3235</v>
      </c>
      <c r="AJK2" t="s">
        <v>3223</v>
      </c>
      <c r="AJL2" t="s">
        <v>3438</v>
      </c>
      <c r="AJM2" t="s">
        <v>3225</v>
      </c>
      <c r="AJN2" t="s">
        <v>447</v>
      </c>
      <c r="AJO2" t="s">
        <v>3227</v>
      </c>
      <c r="AJP2" t="s">
        <v>448</v>
      </c>
      <c r="AJQ2" t="s">
        <v>3229</v>
      </c>
      <c r="AJR2" t="s">
        <v>449</v>
      </c>
      <c r="AJS2" t="s">
        <v>3231</v>
      </c>
      <c r="AJT2" t="s">
        <v>450</v>
      </c>
      <c r="AJU2" t="s">
        <v>3415</v>
      </c>
      <c r="AJV2" t="s">
        <v>451</v>
      </c>
      <c r="AJW2" t="s">
        <v>3417</v>
      </c>
      <c r="AJX2" t="s">
        <v>452</v>
      </c>
      <c r="AJY2" t="s">
        <v>3419</v>
      </c>
      <c r="AJZ2" t="s">
        <v>3439</v>
      </c>
      <c r="AKA2" t="s">
        <v>3421</v>
      </c>
      <c r="AKB2" t="s">
        <v>3442</v>
      </c>
      <c r="AKC2" t="s">
        <v>3233</v>
      </c>
      <c r="AKD2" t="s">
        <v>3235</v>
      </c>
      <c r="AKE2" t="s">
        <v>53</v>
      </c>
      <c r="AKF2" t="s">
        <v>185</v>
      </c>
      <c r="AKG2" t="s">
        <v>3697</v>
      </c>
      <c r="AKH2" t="s">
        <v>2670</v>
      </c>
      <c r="AKI2">
        <v>1001002</v>
      </c>
      <c r="AKJ2" t="s">
        <v>55</v>
      </c>
      <c r="AKK2" t="s">
        <v>193</v>
      </c>
      <c r="AKL2" t="s">
        <v>3104</v>
      </c>
      <c r="AKM2" t="s">
        <v>2670</v>
      </c>
      <c r="AKN2">
        <v>1001003</v>
      </c>
      <c r="AKO2" t="s">
        <v>54</v>
      </c>
      <c r="AKP2" t="s">
        <v>189</v>
      </c>
      <c r="AKQ2" t="s">
        <v>422</v>
      </c>
      <c r="AKS2">
        <v>1001001</v>
      </c>
      <c r="AKT2" t="s">
        <v>57</v>
      </c>
      <c r="AKU2" t="s">
        <v>201</v>
      </c>
      <c r="AKV2" t="s">
        <v>425</v>
      </c>
      <c r="AKX2">
        <v>1001004</v>
      </c>
      <c r="AKY2" t="s">
        <v>62</v>
      </c>
      <c r="AKZ2" t="s">
        <v>223</v>
      </c>
      <c r="ALA2" t="s">
        <v>430</v>
      </c>
      <c r="ALC2">
        <v>1001005</v>
      </c>
      <c r="ALD2" t="s">
        <v>64</v>
      </c>
      <c r="ALE2" t="s">
        <v>231</v>
      </c>
      <c r="ALF2" t="s">
        <v>432</v>
      </c>
      <c r="ALH2">
        <v>1002011</v>
      </c>
      <c r="ALI2" t="s">
        <v>65</v>
      </c>
      <c r="ALJ2" t="s">
        <v>236</v>
      </c>
      <c r="ALK2" t="s">
        <v>433</v>
      </c>
      <c r="ALM2">
        <v>1002012</v>
      </c>
      <c r="ALN2" t="s">
        <v>61</v>
      </c>
      <c r="ALO2" t="s">
        <v>218</v>
      </c>
      <c r="ALP2" t="s">
        <v>429</v>
      </c>
      <c r="ALR2">
        <v>1002016</v>
      </c>
      <c r="ALS2" t="s">
        <v>58</v>
      </c>
      <c r="ALT2" t="s">
        <v>204</v>
      </c>
      <c r="ALU2" t="s">
        <v>426</v>
      </c>
      <c r="ALW2">
        <v>1002017</v>
      </c>
      <c r="ALX2" t="s">
        <v>52</v>
      </c>
      <c r="ALY2" t="s">
        <v>180</v>
      </c>
      <c r="ALZ2" t="s">
        <v>420</v>
      </c>
      <c r="AMB2">
        <v>1003023</v>
      </c>
      <c r="AMC2" t="s">
        <v>55</v>
      </c>
      <c r="AMD2" t="s">
        <v>193</v>
      </c>
      <c r="AME2" t="s">
        <v>3104</v>
      </c>
      <c r="AMF2" t="s">
        <v>2670</v>
      </c>
      <c r="AMG2">
        <v>1001003</v>
      </c>
      <c r="AMH2" t="s">
        <v>53</v>
      </c>
      <c r="AMI2" t="s">
        <v>185</v>
      </c>
      <c r="AMJ2" t="s">
        <v>3697</v>
      </c>
      <c r="AMK2" t="s">
        <v>2670</v>
      </c>
      <c r="AML2">
        <v>1001002</v>
      </c>
      <c r="AMM2" t="s">
        <v>54</v>
      </c>
      <c r="AMN2" t="s">
        <v>189</v>
      </c>
      <c r="AMO2" t="s">
        <v>422</v>
      </c>
      <c r="AMQ2">
        <v>1001001</v>
      </c>
      <c r="AMR2" t="s">
        <v>62</v>
      </c>
      <c r="AMS2" t="s">
        <v>223</v>
      </c>
      <c r="AMT2" t="s">
        <v>430</v>
      </c>
      <c r="AMV2">
        <v>1001005</v>
      </c>
      <c r="AMW2" t="s">
        <v>64</v>
      </c>
      <c r="AMX2" t="s">
        <v>231</v>
      </c>
      <c r="AMY2" t="s">
        <v>432</v>
      </c>
      <c r="ANA2">
        <v>1002011</v>
      </c>
      <c r="ANB2" t="s">
        <v>65</v>
      </c>
      <c r="ANC2" t="s">
        <v>236</v>
      </c>
      <c r="AND2" t="s">
        <v>433</v>
      </c>
      <c r="ANF2">
        <v>1002012</v>
      </c>
      <c r="ANG2" t="s">
        <v>73</v>
      </c>
      <c r="ANH2" t="s">
        <v>273</v>
      </c>
      <c r="ANI2" t="s">
        <v>459</v>
      </c>
      <c r="ANK2">
        <v>1002013</v>
      </c>
      <c r="ANL2" t="s">
        <v>68</v>
      </c>
      <c r="ANM2" t="s">
        <v>249</v>
      </c>
      <c r="ANN2" t="s">
        <v>454</v>
      </c>
      <c r="ANP2">
        <v>1002014</v>
      </c>
      <c r="ANQ2" t="s">
        <v>60</v>
      </c>
      <c r="ANR2" t="s">
        <v>214</v>
      </c>
      <c r="ANS2" t="s">
        <v>428</v>
      </c>
      <c r="ANU2">
        <v>1002015</v>
      </c>
      <c r="ANV2" t="s">
        <v>78</v>
      </c>
      <c r="ANW2" t="s">
        <v>294</v>
      </c>
      <c r="ANX2" t="s">
        <v>464</v>
      </c>
      <c r="ANZ2">
        <v>1003021</v>
      </c>
      <c r="AOA2" t="s">
        <v>91</v>
      </c>
      <c r="AOB2" t="s">
        <v>348</v>
      </c>
      <c r="AOC2" t="s">
        <v>3103</v>
      </c>
      <c r="AOD2" t="s">
        <v>2670</v>
      </c>
      <c r="AOE2">
        <v>2002013</v>
      </c>
      <c r="AOF2" t="s">
        <v>102</v>
      </c>
      <c r="AOG2" t="s">
        <v>392</v>
      </c>
      <c r="AOH2" t="s">
        <v>489</v>
      </c>
      <c r="AOJ2">
        <v>2001001</v>
      </c>
      <c r="AOK2" t="s">
        <v>107</v>
      </c>
      <c r="AOL2" t="s">
        <v>412</v>
      </c>
      <c r="AOM2" t="s">
        <v>494</v>
      </c>
      <c r="AOO2">
        <v>2001002</v>
      </c>
      <c r="AOP2" t="s">
        <v>104</v>
      </c>
      <c r="AOQ2" t="s">
        <v>400</v>
      </c>
      <c r="AOR2" t="s">
        <v>491</v>
      </c>
      <c r="AOT2">
        <v>2001003</v>
      </c>
      <c r="AOU2" t="s">
        <v>89</v>
      </c>
      <c r="AOV2" t="s">
        <v>340</v>
      </c>
      <c r="AOW2" t="s">
        <v>476</v>
      </c>
      <c r="AOY2">
        <v>2001005</v>
      </c>
      <c r="AOZ2" t="s">
        <v>88</v>
      </c>
      <c r="APA2" t="s">
        <v>336</v>
      </c>
      <c r="APB2" t="s">
        <v>475</v>
      </c>
      <c r="APD2">
        <v>2002011</v>
      </c>
      <c r="APE2" t="s">
        <v>60</v>
      </c>
      <c r="APF2" t="s">
        <v>214</v>
      </c>
      <c r="APG2" t="s">
        <v>428</v>
      </c>
      <c r="API2">
        <v>2001006</v>
      </c>
      <c r="APJ2" t="s">
        <v>103</v>
      </c>
      <c r="APK2" t="s">
        <v>396</v>
      </c>
      <c r="APL2" t="s">
        <v>490</v>
      </c>
      <c r="APN2">
        <v>2001006</v>
      </c>
      <c r="APO2" t="s">
        <v>95</v>
      </c>
      <c r="APP2" t="s">
        <v>365</v>
      </c>
      <c r="APQ2" t="s">
        <v>482</v>
      </c>
      <c r="APS2">
        <v>2001007</v>
      </c>
      <c r="APT2" t="s">
        <v>93</v>
      </c>
      <c r="APU2" t="s">
        <v>355</v>
      </c>
      <c r="APV2" t="s">
        <v>480</v>
      </c>
      <c r="APX2">
        <v>2002014</v>
      </c>
      <c r="APY2" t="s">
        <v>78</v>
      </c>
      <c r="APZ2" t="s">
        <v>294</v>
      </c>
      <c r="AQA2" t="s">
        <v>464</v>
      </c>
      <c r="AQC2">
        <v>2002015</v>
      </c>
      <c r="AQD2" t="s">
        <v>3503</v>
      </c>
      <c r="AQE2" t="s">
        <v>3505</v>
      </c>
      <c r="AQF2" t="s">
        <v>3501</v>
      </c>
      <c r="AQG2" t="s">
        <v>498</v>
      </c>
      <c r="AQH2" t="s">
        <v>3503</v>
      </c>
      <c r="AQI2" t="s">
        <v>3509</v>
      </c>
      <c r="AQJ2" t="s">
        <v>3507</v>
      </c>
      <c r="AQK2" t="s">
        <v>499</v>
      </c>
      <c r="AQL2" t="s">
        <v>3511</v>
      </c>
      <c r="AQM2" t="s">
        <v>3515</v>
      </c>
      <c r="AQN2" t="s">
        <v>3513</v>
      </c>
      <c r="AQO2" t="s">
        <v>500</v>
      </c>
      <c r="AQP2" t="s">
        <v>2646</v>
      </c>
      <c r="AQQ2" t="s">
        <v>3623</v>
      </c>
      <c r="AQR2" t="s">
        <v>2647</v>
      </c>
      <c r="AQS2" t="s">
        <v>3624</v>
      </c>
      <c r="AQT2" t="s">
        <v>2648</v>
      </c>
      <c r="AQU2" t="s">
        <v>3625</v>
      </c>
      <c r="AQV2" t="s">
        <v>2649</v>
      </c>
      <c r="AQW2" t="s">
        <v>3626</v>
      </c>
      <c r="AQX2" t="s">
        <v>2650</v>
      </c>
      <c r="AQY2" t="s">
        <v>3627</v>
      </c>
      <c r="AQZ2" t="s">
        <v>2651</v>
      </c>
      <c r="ARA2" t="s">
        <v>3628</v>
      </c>
      <c r="ARB2" t="s">
        <v>2652</v>
      </c>
      <c r="ARC2" t="s">
        <v>3629</v>
      </c>
      <c r="ARD2" t="s">
        <v>2653</v>
      </c>
      <c r="ARE2" t="s">
        <v>3630</v>
      </c>
      <c r="ARF2" t="s">
        <v>2654</v>
      </c>
      <c r="ARG2" t="s">
        <v>3633</v>
      </c>
      <c r="ARH2" t="s">
        <v>2655</v>
      </c>
      <c r="ARI2" t="s">
        <v>2932</v>
      </c>
      <c r="ARJ2" t="s">
        <v>2656</v>
      </c>
      <c r="ARK2" t="s">
        <v>3634</v>
      </c>
      <c r="ARL2" t="s">
        <v>2657</v>
      </c>
      <c r="ARM2" t="s">
        <v>3635</v>
      </c>
      <c r="ARN2" t="s">
        <v>2658</v>
      </c>
      <c r="ARO2" t="s">
        <v>3636</v>
      </c>
      <c r="ARP2" t="s">
        <v>1971</v>
      </c>
      <c r="ARQ2" t="s">
        <v>3637</v>
      </c>
      <c r="ARR2" t="s">
        <v>2659</v>
      </c>
      <c r="ARS2" t="s">
        <v>3638</v>
      </c>
      <c r="ART2" t="s">
        <v>3619</v>
      </c>
      <c r="ARU2" t="s">
        <v>3639</v>
      </c>
      <c r="ARV2" t="s">
        <v>3620</v>
      </c>
      <c r="ARW2" t="s">
        <v>3642</v>
      </c>
      <c r="ARX2" t="s">
        <v>3621</v>
      </c>
      <c r="ARY2" t="s">
        <v>3645</v>
      </c>
      <c r="ARZ2" t="s">
        <v>536</v>
      </c>
      <c r="ASA2" t="s">
        <v>537</v>
      </c>
      <c r="ASB2" t="s">
        <v>3374</v>
      </c>
      <c r="ASC2">
        <v>9001001</v>
      </c>
      <c r="ASD2" t="s">
        <v>539</v>
      </c>
      <c r="ASE2" t="s">
        <v>540</v>
      </c>
      <c r="ASF2" t="s">
        <v>3375</v>
      </c>
      <c r="ASG2">
        <v>9001002</v>
      </c>
      <c r="ASH2" t="s">
        <v>523</v>
      </c>
      <c r="ASI2" t="s">
        <v>524</v>
      </c>
      <c r="ASJ2" t="s">
        <v>3376</v>
      </c>
      <c r="ASK2">
        <v>9001003</v>
      </c>
      <c r="ASL2" t="s">
        <v>593</v>
      </c>
      <c r="ASM2" t="s">
        <v>594</v>
      </c>
      <c r="ASN2" t="s">
        <v>3377</v>
      </c>
      <c r="ASO2">
        <v>9001004</v>
      </c>
      <c r="ASP2" t="s">
        <v>576</v>
      </c>
      <c r="ASQ2" t="s">
        <v>577</v>
      </c>
      <c r="ASR2" t="s">
        <v>3378</v>
      </c>
      <c r="ASS2">
        <v>9001005</v>
      </c>
      <c r="AST2" t="s">
        <v>94</v>
      </c>
      <c r="ASU2" t="s">
        <v>360</v>
      </c>
      <c r="ASV2" t="s">
        <v>481</v>
      </c>
      <c r="ASW2">
        <v>9001006</v>
      </c>
      <c r="ASX2" t="s">
        <v>509</v>
      </c>
      <c r="ASY2" t="s">
        <v>510</v>
      </c>
      <c r="ASZ2" t="s">
        <v>3379</v>
      </c>
      <c r="ATA2">
        <v>9001007</v>
      </c>
      <c r="ATB2" t="s">
        <v>152</v>
      </c>
      <c r="ATC2" t="s">
        <v>513</v>
      </c>
      <c r="ATD2" t="s">
        <v>495</v>
      </c>
      <c r="ATE2">
        <v>9001008</v>
      </c>
      <c r="ATF2" t="s">
        <v>2287</v>
      </c>
      <c r="ATG2" t="s">
        <v>2525</v>
      </c>
      <c r="ATH2" t="s">
        <v>2527</v>
      </c>
      <c r="ATI2">
        <v>9001009</v>
      </c>
      <c r="ATJ2" t="s">
        <v>137</v>
      </c>
      <c r="ATK2" t="s">
        <v>608</v>
      </c>
      <c r="ATL2" t="s">
        <v>3380</v>
      </c>
      <c r="ATM2">
        <v>9004001</v>
      </c>
      <c r="ATN2" t="s">
        <v>136</v>
      </c>
      <c r="ATO2" t="s">
        <v>623</v>
      </c>
      <c r="ATP2" t="s">
        <v>3381</v>
      </c>
      <c r="ATQ2">
        <v>9004002</v>
      </c>
      <c r="ATR2" t="s">
        <v>140</v>
      </c>
      <c r="ATS2" t="s">
        <v>584</v>
      </c>
      <c r="ATT2" t="s">
        <v>3382</v>
      </c>
      <c r="ATU2">
        <v>9004003</v>
      </c>
      <c r="ATV2" t="s">
        <v>554</v>
      </c>
      <c r="ATW2" t="s">
        <v>555</v>
      </c>
      <c r="ATX2" t="s">
        <v>3383</v>
      </c>
      <c r="ATY2">
        <v>9004004</v>
      </c>
      <c r="ATZ2" t="s">
        <v>527</v>
      </c>
      <c r="AUA2" t="s">
        <v>528</v>
      </c>
      <c r="AUB2" t="s">
        <v>3384</v>
      </c>
      <c r="AUC2">
        <v>9004005</v>
      </c>
      <c r="AUD2" t="s">
        <v>138</v>
      </c>
      <c r="AUE2" t="s">
        <v>613</v>
      </c>
      <c r="AUF2" t="s">
        <v>3385</v>
      </c>
      <c r="AUG2">
        <v>9004006</v>
      </c>
      <c r="AUH2" t="s">
        <v>590</v>
      </c>
      <c r="AUI2" t="s">
        <v>591</v>
      </c>
      <c r="AUJ2" t="s">
        <v>3386</v>
      </c>
      <c r="AUK2">
        <v>9004007</v>
      </c>
      <c r="AUL2" t="s">
        <v>156</v>
      </c>
      <c r="AUM2" t="s">
        <v>587</v>
      </c>
      <c r="AUN2" t="s">
        <v>3387</v>
      </c>
      <c r="AUO2">
        <v>9004008</v>
      </c>
      <c r="AUP2" t="s">
        <v>558</v>
      </c>
      <c r="AUQ2" t="s">
        <v>559</v>
      </c>
      <c r="AUR2" t="s">
        <v>3388</v>
      </c>
      <c r="AUS2">
        <v>9004009</v>
      </c>
      <c r="AUT2" t="s">
        <v>543</v>
      </c>
      <c r="AUU2" t="s">
        <v>544</v>
      </c>
      <c r="AUV2" t="s">
        <v>3389</v>
      </c>
      <c r="AUW2">
        <v>9004010</v>
      </c>
      <c r="AUX2" t="s">
        <v>547</v>
      </c>
      <c r="AUY2" t="s">
        <v>548</v>
      </c>
      <c r="AUZ2" t="s">
        <v>3390</v>
      </c>
      <c r="AVA2">
        <v>9004011</v>
      </c>
      <c r="AVB2" t="s">
        <v>550</v>
      </c>
      <c r="AVC2" t="s">
        <v>551</v>
      </c>
      <c r="AVD2" t="s">
        <v>3391</v>
      </c>
      <c r="AVE2">
        <v>9004012</v>
      </c>
      <c r="AVF2" t="s">
        <v>2660</v>
      </c>
      <c r="AVG2" t="s">
        <v>498</v>
      </c>
      <c r="AVH2" t="s">
        <v>2662</v>
      </c>
      <c r="AVI2" t="s">
        <v>499</v>
      </c>
      <c r="AVJ2" t="s">
        <v>2664</v>
      </c>
      <c r="AVK2" t="s">
        <v>500</v>
      </c>
      <c r="AVL2" t="s">
        <v>149</v>
      </c>
      <c r="AVM2" t="s">
        <v>3430</v>
      </c>
      <c r="AVN2" t="s">
        <v>2978</v>
      </c>
      <c r="AVO2" t="s">
        <v>3432</v>
      </c>
      <c r="AVP2" t="s">
        <v>142</v>
      </c>
      <c r="AVQ2" t="s">
        <v>501</v>
      </c>
      <c r="AVR2" t="s">
        <v>143</v>
      </c>
      <c r="AVS2" t="s">
        <v>502</v>
      </c>
      <c r="AVT2" t="s">
        <v>144</v>
      </c>
      <c r="AVU2" t="s">
        <v>503</v>
      </c>
      <c r="AVV2" t="s">
        <v>145</v>
      </c>
      <c r="AVW2" t="s">
        <v>504</v>
      </c>
      <c r="AVX2" t="s">
        <v>146</v>
      </c>
      <c r="AVY2" t="s">
        <v>505</v>
      </c>
      <c r="AVZ2" t="s">
        <v>147</v>
      </c>
      <c r="AWA2" t="s">
        <v>506</v>
      </c>
      <c r="AWB2" t="s">
        <v>148</v>
      </c>
      <c r="AWC2" t="s">
        <v>507</v>
      </c>
      <c r="AWD2" t="s">
        <v>3187</v>
      </c>
      <c r="AWE2" t="s">
        <v>3191</v>
      </c>
      <c r="AWF2" t="s">
        <v>3189</v>
      </c>
      <c r="AWG2" t="s">
        <v>3193</v>
      </c>
      <c r="AWH2" t="s">
        <v>149</v>
      </c>
      <c r="AWI2" t="s">
        <v>3608</v>
      </c>
      <c r="AWJ2" t="s">
        <v>3195</v>
      </c>
      <c r="AWK2" t="s">
        <v>3609</v>
      </c>
      <c r="AWL2" t="s">
        <v>3196</v>
      </c>
      <c r="AWM2" t="s">
        <v>3610</v>
      </c>
      <c r="AWN2" t="s">
        <v>3197</v>
      </c>
      <c r="AWO2" t="s">
        <v>3611</v>
      </c>
      <c r="AWP2" t="s">
        <v>3617</v>
      </c>
      <c r="AWQ2" t="s">
        <v>3612</v>
      </c>
      <c r="AWR2" t="s">
        <v>3198</v>
      </c>
      <c r="AWS2" t="s">
        <v>3209</v>
      </c>
      <c r="AWT2" t="s">
        <v>149</v>
      </c>
      <c r="AWU2" t="s">
        <v>3201</v>
      </c>
      <c r="AWV2" t="s">
        <v>3195</v>
      </c>
      <c r="AWW2" t="s">
        <v>3203</v>
      </c>
      <c r="AWX2" t="s">
        <v>3196</v>
      </c>
      <c r="AWY2" t="s">
        <v>3205</v>
      </c>
      <c r="AWZ2" t="s">
        <v>3197</v>
      </c>
      <c r="AXA2" t="s">
        <v>3207</v>
      </c>
      <c r="AXB2" t="s">
        <v>3434</v>
      </c>
      <c r="AXC2" t="s">
        <v>3199</v>
      </c>
      <c r="AXD2" t="s">
        <v>51</v>
      </c>
      <c r="AXE2" t="s">
        <v>175</v>
      </c>
      <c r="AXF2" t="s">
        <v>176</v>
      </c>
      <c r="AXG2" t="s">
        <v>419</v>
      </c>
      <c r="AXH2" t="s">
        <v>177</v>
      </c>
      <c r="AXI2" t="s">
        <v>178</v>
      </c>
      <c r="AXJ2" t="s">
        <v>1962</v>
      </c>
      <c r="AXK2" t="s">
        <v>2625</v>
      </c>
      <c r="AXL2" t="s">
        <v>1902</v>
      </c>
      <c r="AXM2" t="s">
        <v>1900</v>
      </c>
      <c r="AXO2" t="s">
        <v>311</v>
      </c>
      <c r="AXP2" t="s">
        <v>67</v>
      </c>
      <c r="AXQ2" t="s">
        <v>245</v>
      </c>
      <c r="AXR2" t="s">
        <v>246</v>
      </c>
      <c r="AXS2" t="s">
        <v>453</v>
      </c>
      <c r="AXT2" t="s">
        <v>247</v>
      </c>
      <c r="AXU2" t="s">
        <v>248</v>
      </c>
      <c r="AXV2" t="s">
        <v>1962</v>
      </c>
      <c r="AXW2" t="s">
        <v>2626</v>
      </c>
      <c r="AXY2" t="s">
        <v>1900</v>
      </c>
      <c r="AYA2" t="s">
        <v>179</v>
      </c>
      <c r="AYB2" t="s">
        <v>82</v>
      </c>
      <c r="AYC2" t="s">
        <v>312</v>
      </c>
      <c r="AYD2" t="s">
        <v>313</v>
      </c>
      <c r="AYE2" t="s">
        <v>469</v>
      </c>
      <c r="AYF2" t="s">
        <v>314</v>
      </c>
      <c r="AYG2" t="s">
        <v>315</v>
      </c>
      <c r="AYH2" t="s">
        <v>111</v>
      </c>
      <c r="AYI2" t="s">
        <v>2627</v>
      </c>
      <c r="AYL2" t="s">
        <v>1901</v>
      </c>
      <c r="AYM2" t="s">
        <v>179</v>
      </c>
      <c r="AYN2" t="s">
        <v>141</v>
      </c>
      <c r="AYO2" t="s">
        <v>2498</v>
      </c>
      <c r="AYP2" t="s">
        <v>508</v>
      </c>
      <c r="AYQ2" t="s">
        <v>3393</v>
      </c>
      <c r="AYR2" t="s">
        <v>3331</v>
      </c>
      <c r="AYS2" t="s">
        <v>2499</v>
      </c>
      <c r="AYT2" t="s">
        <v>1963</v>
      </c>
      <c r="AYU2" t="s">
        <v>2628</v>
      </c>
      <c r="AYY2" t="s">
        <v>179</v>
      </c>
      <c r="AYZ2" t="s">
        <v>150</v>
      </c>
      <c r="AZA2" t="s">
        <v>2622</v>
      </c>
      <c r="AZB2" t="s">
        <v>2623</v>
      </c>
      <c r="AZC2" t="s">
        <v>3394</v>
      </c>
      <c r="AZD2" t="s">
        <v>3332</v>
      </c>
      <c r="AZE2" t="s">
        <v>2624</v>
      </c>
      <c r="AZF2" t="s">
        <v>1964</v>
      </c>
      <c r="AZG2" t="s">
        <v>2629</v>
      </c>
      <c r="AZK2" t="s">
        <v>179</v>
      </c>
      <c r="AZL2" t="s">
        <v>52</v>
      </c>
      <c r="AZM2" t="s">
        <v>180</v>
      </c>
      <c r="AZN2" t="s">
        <v>181</v>
      </c>
      <c r="AZO2" t="s">
        <v>420</v>
      </c>
      <c r="AZP2" t="s">
        <v>182</v>
      </c>
      <c r="AZQ2" t="s">
        <v>183</v>
      </c>
      <c r="AZR2" t="s">
        <v>1962</v>
      </c>
      <c r="AZS2" t="s">
        <v>2625</v>
      </c>
      <c r="AZT2" t="s">
        <v>1902</v>
      </c>
      <c r="AZU2" t="s">
        <v>1900</v>
      </c>
      <c r="AZW2" t="s">
        <v>184</v>
      </c>
      <c r="AZX2" t="s">
        <v>83</v>
      </c>
      <c r="AZY2" t="s">
        <v>316</v>
      </c>
      <c r="AZZ2" t="s">
        <v>317</v>
      </c>
      <c r="BAA2" t="s">
        <v>470</v>
      </c>
      <c r="BAB2" t="s">
        <v>318</v>
      </c>
      <c r="BAC2" t="s">
        <v>319</v>
      </c>
      <c r="BAD2" t="s">
        <v>1962</v>
      </c>
      <c r="BAE2" t="s">
        <v>2627</v>
      </c>
      <c r="BAH2" t="s">
        <v>1901</v>
      </c>
      <c r="BAI2" t="s">
        <v>184</v>
      </c>
      <c r="BAJ2" t="s">
        <v>68</v>
      </c>
      <c r="BAK2" t="s">
        <v>249</v>
      </c>
      <c r="BAL2" t="s">
        <v>250</v>
      </c>
      <c r="BAM2" t="s">
        <v>454</v>
      </c>
      <c r="BAN2" t="s">
        <v>251</v>
      </c>
      <c r="BAO2" t="s">
        <v>252</v>
      </c>
      <c r="BAP2" t="s">
        <v>1962</v>
      </c>
      <c r="BAQ2" t="s">
        <v>2626</v>
      </c>
      <c r="BAS2" t="s">
        <v>1900</v>
      </c>
      <c r="BAU2" t="s">
        <v>184</v>
      </c>
      <c r="BAV2" t="s">
        <v>69</v>
      </c>
      <c r="BAW2" t="s">
        <v>253</v>
      </c>
      <c r="BAX2" t="s">
        <v>254</v>
      </c>
      <c r="BAY2" t="s">
        <v>455</v>
      </c>
      <c r="BAZ2" t="s">
        <v>255</v>
      </c>
      <c r="BBA2" t="s">
        <v>256</v>
      </c>
      <c r="BBB2" t="s">
        <v>111</v>
      </c>
      <c r="BBC2" t="s">
        <v>2630</v>
      </c>
      <c r="BBE2" t="s">
        <v>1900</v>
      </c>
      <c r="BBF2" t="s">
        <v>1901</v>
      </c>
      <c r="BBG2" t="s">
        <v>184</v>
      </c>
      <c r="BBH2" t="s">
        <v>70</v>
      </c>
      <c r="BBI2" t="s">
        <v>257</v>
      </c>
      <c r="BBJ2" t="s">
        <v>258</v>
      </c>
      <c r="BBK2" t="s">
        <v>456</v>
      </c>
      <c r="BBL2" t="s">
        <v>259</v>
      </c>
      <c r="BBM2" t="s">
        <v>260</v>
      </c>
      <c r="BBN2" t="s">
        <v>111</v>
      </c>
      <c r="BBO2" t="s">
        <v>2630</v>
      </c>
      <c r="BBQ2" t="s">
        <v>1900</v>
      </c>
      <c r="BBR2" t="s">
        <v>1901</v>
      </c>
      <c r="BBS2" t="s">
        <v>184</v>
      </c>
      <c r="BBT2" t="s">
        <v>509</v>
      </c>
      <c r="BBU2" t="s">
        <v>510</v>
      </c>
      <c r="BBV2" t="s">
        <v>511</v>
      </c>
      <c r="BBW2" t="s">
        <v>3379</v>
      </c>
      <c r="BBX2" t="s">
        <v>3333</v>
      </c>
      <c r="BBY2" t="s">
        <v>512</v>
      </c>
      <c r="BBZ2" t="s">
        <v>1965</v>
      </c>
      <c r="BCA2" t="s">
        <v>2629</v>
      </c>
      <c r="BCE2" t="s">
        <v>184</v>
      </c>
      <c r="BCF2" t="s">
        <v>53</v>
      </c>
      <c r="BCG2" t="s">
        <v>185</v>
      </c>
      <c r="BCH2" t="s">
        <v>186</v>
      </c>
      <c r="BCI2" t="s">
        <v>421</v>
      </c>
      <c r="BCJ2" t="s">
        <v>187</v>
      </c>
      <c r="BCK2" t="s">
        <v>188</v>
      </c>
      <c r="BCL2" t="s">
        <v>1962</v>
      </c>
      <c r="BCM2" t="s">
        <v>2631</v>
      </c>
      <c r="BCN2" t="s">
        <v>1902</v>
      </c>
      <c r="BCO2" t="s">
        <v>1900</v>
      </c>
      <c r="BCP2" t="s">
        <v>1901</v>
      </c>
      <c r="BCQ2" t="s">
        <v>184</v>
      </c>
      <c r="BCR2" t="s">
        <v>54</v>
      </c>
      <c r="BCS2" t="s">
        <v>189</v>
      </c>
      <c r="BCT2" t="s">
        <v>190</v>
      </c>
      <c r="BCU2" t="s">
        <v>422</v>
      </c>
      <c r="BCV2" t="s">
        <v>191</v>
      </c>
      <c r="BCW2" t="s">
        <v>192</v>
      </c>
      <c r="BCX2" t="s">
        <v>1962</v>
      </c>
      <c r="BCY2" t="s">
        <v>2625</v>
      </c>
      <c r="BCZ2" t="s">
        <v>1902</v>
      </c>
      <c r="BDA2" t="s">
        <v>1900</v>
      </c>
      <c r="BDC2" t="s">
        <v>184</v>
      </c>
      <c r="BDD2" t="s">
        <v>55</v>
      </c>
      <c r="BDE2" t="s">
        <v>193</v>
      </c>
      <c r="BDF2" t="s">
        <v>2490</v>
      </c>
      <c r="BDG2" t="s">
        <v>423</v>
      </c>
      <c r="BDH2" t="s">
        <v>194</v>
      </c>
      <c r="BDI2" t="s">
        <v>195</v>
      </c>
      <c r="BDJ2" t="s">
        <v>1962</v>
      </c>
      <c r="BDK2" t="s">
        <v>2625</v>
      </c>
      <c r="BDL2" t="s">
        <v>1902</v>
      </c>
      <c r="BDM2" t="s">
        <v>1900</v>
      </c>
      <c r="BDO2" t="s">
        <v>196</v>
      </c>
      <c r="BDP2" t="s">
        <v>84</v>
      </c>
      <c r="BDQ2" t="s">
        <v>320</v>
      </c>
      <c r="BDR2" t="s">
        <v>321</v>
      </c>
      <c r="BDS2" t="s">
        <v>471</v>
      </c>
      <c r="BDT2" t="s">
        <v>322</v>
      </c>
      <c r="BDU2" t="s">
        <v>323</v>
      </c>
      <c r="BDV2" t="s">
        <v>111</v>
      </c>
      <c r="BDW2" t="s">
        <v>2627</v>
      </c>
      <c r="BDZ2" t="s">
        <v>1901</v>
      </c>
      <c r="BEA2" t="s">
        <v>196</v>
      </c>
      <c r="BEB2" t="s">
        <v>85</v>
      </c>
      <c r="BEC2" t="s">
        <v>324</v>
      </c>
      <c r="BED2" t="s">
        <v>325</v>
      </c>
      <c r="BEE2" t="s">
        <v>472</v>
      </c>
      <c r="BEF2" t="s">
        <v>326</v>
      </c>
      <c r="BEG2" t="s">
        <v>327</v>
      </c>
      <c r="BEH2" t="s">
        <v>1966</v>
      </c>
      <c r="BEI2" t="s">
        <v>2627</v>
      </c>
      <c r="BEL2" t="s">
        <v>1901</v>
      </c>
      <c r="BEM2" t="s">
        <v>196</v>
      </c>
      <c r="BEN2" t="s">
        <v>86</v>
      </c>
      <c r="BEO2" t="s">
        <v>328</v>
      </c>
      <c r="BEP2" t="s">
        <v>329</v>
      </c>
      <c r="BEQ2" t="s">
        <v>473</v>
      </c>
      <c r="BER2" t="s">
        <v>330</v>
      </c>
      <c r="BES2" t="s">
        <v>331</v>
      </c>
      <c r="BET2" t="s">
        <v>1966</v>
      </c>
      <c r="BEU2" t="s">
        <v>2627</v>
      </c>
      <c r="BEX2" t="s">
        <v>1901</v>
      </c>
      <c r="BEY2" t="s">
        <v>196</v>
      </c>
      <c r="BEZ2" t="s">
        <v>87</v>
      </c>
      <c r="BFA2" t="s">
        <v>332</v>
      </c>
      <c r="BFB2" t="s">
        <v>333</v>
      </c>
      <c r="BFC2" t="s">
        <v>474</v>
      </c>
      <c r="BFD2" t="s">
        <v>334</v>
      </c>
      <c r="BFE2" t="s">
        <v>335</v>
      </c>
      <c r="BFF2" t="s">
        <v>1962</v>
      </c>
      <c r="BFG2" t="s">
        <v>2627</v>
      </c>
      <c r="BFJ2" t="s">
        <v>1901</v>
      </c>
      <c r="BFK2" t="s">
        <v>196</v>
      </c>
      <c r="BFL2" t="s">
        <v>56</v>
      </c>
      <c r="BFM2" t="s">
        <v>197</v>
      </c>
      <c r="BFN2" t="s">
        <v>198</v>
      </c>
      <c r="BFO2" t="s">
        <v>424</v>
      </c>
      <c r="BFP2" t="s">
        <v>199</v>
      </c>
      <c r="BFQ2" t="s">
        <v>200</v>
      </c>
      <c r="BFR2" t="s">
        <v>1962</v>
      </c>
      <c r="BFS2" t="s">
        <v>2625</v>
      </c>
      <c r="BFT2" t="s">
        <v>1902</v>
      </c>
      <c r="BFU2" t="s">
        <v>1900</v>
      </c>
      <c r="BFW2" t="s">
        <v>196</v>
      </c>
      <c r="BFX2" t="s">
        <v>57</v>
      </c>
      <c r="BFY2" t="s">
        <v>201</v>
      </c>
      <c r="BFZ2" t="s">
        <v>2515</v>
      </c>
      <c r="BGA2" t="s">
        <v>425</v>
      </c>
      <c r="BGB2" t="s">
        <v>202</v>
      </c>
      <c r="BGC2" t="s">
        <v>203</v>
      </c>
      <c r="BGD2" t="s">
        <v>1967</v>
      </c>
      <c r="BGE2" t="s">
        <v>2632</v>
      </c>
      <c r="BGF2" t="s">
        <v>1902</v>
      </c>
      <c r="BGI2" t="s">
        <v>196</v>
      </c>
      <c r="BGJ2" t="s">
        <v>152</v>
      </c>
      <c r="BGK2" t="s">
        <v>513</v>
      </c>
      <c r="BGL2" t="s">
        <v>514</v>
      </c>
      <c r="BGM2" t="s">
        <v>495</v>
      </c>
      <c r="BGN2" t="s">
        <v>3334</v>
      </c>
      <c r="BGO2" t="s">
        <v>515</v>
      </c>
      <c r="BGP2" t="s">
        <v>1964</v>
      </c>
      <c r="BGQ2" t="s">
        <v>2629</v>
      </c>
      <c r="BGU2" t="s">
        <v>196</v>
      </c>
      <c r="BGV2" t="s">
        <v>88</v>
      </c>
      <c r="BGW2" t="s">
        <v>336</v>
      </c>
      <c r="BGX2" t="s">
        <v>337</v>
      </c>
      <c r="BGY2" t="s">
        <v>475</v>
      </c>
      <c r="BGZ2" t="s">
        <v>338</v>
      </c>
      <c r="BHA2" t="s">
        <v>339</v>
      </c>
      <c r="BHB2" t="s">
        <v>158</v>
      </c>
      <c r="BHC2" t="s">
        <v>2627</v>
      </c>
      <c r="BHF2" t="s">
        <v>1901</v>
      </c>
      <c r="BHG2" t="s">
        <v>261</v>
      </c>
      <c r="BHH2" t="s">
        <v>2286</v>
      </c>
      <c r="BHI2" t="s">
        <v>2519</v>
      </c>
      <c r="BHJ2" t="s">
        <v>2520</v>
      </c>
      <c r="BHK2" t="s">
        <v>2521</v>
      </c>
      <c r="BHL2" t="s">
        <v>3335</v>
      </c>
      <c r="BHM2" t="s">
        <v>2522</v>
      </c>
      <c r="BHN2" t="s">
        <v>1963</v>
      </c>
      <c r="BHO2" t="s">
        <v>2633</v>
      </c>
      <c r="BHS2" t="s">
        <v>208</v>
      </c>
      <c r="BHT2" t="s">
        <v>516</v>
      </c>
      <c r="BHU2" t="s">
        <v>517</v>
      </c>
      <c r="BHV2" t="s">
        <v>518</v>
      </c>
      <c r="BHW2" t="s">
        <v>3395</v>
      </c>
      <c r="BHX2" t="s">
        <v>3336</v>
      </c>
      <c r="BHY2" t="s">
        <v>519</v>
      </c>
      <c r="BHZ2" t="s">
        <v>1968</v>
      </c>
      <c r="BIA2" t="s">
        <v>2629</v>
      </c>
      <c r="BIE2" t="s">
        <v>208</v>
      </c>
      <c r="BIF2" t="s">
        <v>2287</v>
      </c>
      <c r="BIG2" t="s">
        <v>2525</v>
      </c>
      <c r="BIH2" t="s">
        <v>2526</v>
      </c>
      <c r="BII2" t="s">
        <v>2527</v>
      </c>
      <c r="BIJ2" t="s">
        <v>3337</v>
      </c>
      <c r="BIK2" t="s">
        <v>2528</v>
      </c>
      <c r="BIL2" t="s">
        <v>2529</v>
      </c>
      <c r="BIM2" t="s">
        <v>2629</v>
      </c>
      <c r="BIQ2" t="s">
        <v>208</v>
      </c>
      <c r="BIR2" t="s">
        <v>58</v>
      </c>
      <c r="BIS2" t="s">
        <v>204</v>
      </c>
      <c r="BIT2" t="s">
        <v>205</v>
      </c>
      <c r="BIU2" t="s">
        <v>426</v>
      </c>
      <c r="BIV2" t="s">
        <v>206</v>
      </c>
      <c r="BIW2" t="s">
        <v>207</v>
      </c>
      <c r="BIX2" t="s">
        <v>1962</v>
      </c>
      <c r="BIY2" t="s">
        <v>2625</v>
      </c>
      <c r="BIZ2" t="s">
        <v>1902</v>
      </c>
      <c r="BJA2" t="s">
        <v>1900</v>
      </c>
      <c r="BJC2" t="s">
        <v>208</v>
      </c>
      <c r="BJD2" t="s">
        <v>89</v>
      </c>
      <c r="BJE2" t="s">
        <v>340</v>
      </c>
      <c r="BJF2" t="s">
        <v>341</v>
      </c>
      <c r="BJG2" t="s">
        <v>476</v>
      </c>
      <c r="BJH2" t="s">
        <v>342</v>
      </c>
      <c r="BJI2" t="s">
        <v>343</v>
      </c>
      <c r="BJJ2" t="s">
        <v>111</v>
      </c>
      <c r="BJK2" t="s">
        <v>2627</v>
      </c>
      <c r="BJN2" t="s">
        <v>1901</v>
      </c>
      <c r="BJO2" t="s">
        <v>262</v>
      </c>
      <c r="BJP2" t="s">
        <v>154</v>
      </c>
      <c r="BJQ2" t="s">
        <v>520</v>
      </c>
      <c r="BJR2" t="s">
        <v>521</v>
      </c>
      <c r="BJS2" t="s">
        <v>3396</v>
      </c>
      <c r="BJT2" t="s">
        <v>3338</v>
      </c>
      <c r="BJU2" t="s">
        <v>522</v>
      </c>
      <c r="BJV2" t="s">
        <v>1964</v>
      </c>
      <c r="BJW2" t="s">
        <v>2629</v>
      </c>
      <c r="BKA2" t="s">
        <v>311</v>
      </c>
      <c r="BKB2" t="s">
        <v>90</v>
      </c>
      <c r="BKC2" t="s">
        <v>344</v>
      </c>
      <c r="BKD2" t="s">
        <v>345</v>
      </c>
      <c r="BKE2" t="s">
        <v>477</v>
      </c>
      <c r="BKF2" t="s">
        <v>346</v>
      </c>
      <c r="BKG2" t="s">
        <v>347</v>
      </c>
      <c r="BKH2" t="s">
        <v>1969</v>
      </c>
      <c r="BKI2" t="s">
        <v>2627</v>
      </c>
      <c r="BKL2" t="s">
        <v>1901</v>
      </c>
      <c r="BKM2" t="s">
        <v>262</v>
      </c>
      <c r="BKN2" t="s">
        <v>2288</v>
      </c>
      <c r="BKO2" t="s">
        <v>2535</v>
      </c>
      <c r="BKP2" t="s">
        <v>2536</v>
      </c>
      <c r="BKQ2" t="s">
        <v>3397</v>
      </c>
      <c r="BKR2" t="s">
        <v>3339</v>
      </c>
      <c r="BKS2" t="s">
        <v>2537</v>
      </c>
      <c r="BKT2" t="s">
        <v>2538</v>
      </c>
      <c r="BKU2" t="s">
        <v>2629</v>
      </c>
      <c r="BKY2" t="s">
        <v>262</v>
      </c>
      <c r="BKZ2" t="s">
        <v>523</v>
      </c>
      <c r="BLA2" t="s">
        <v>524</v>
      </c>
      <c r="BLB2" t="s">
        <v>525</v>
      </c>
      <c r="BLC2" t="s">
        <v>3376</v>
      </c>
      <c r="BLD2" t="s">
        <v>3340</v>
      </c>
      <c r="BLE2" t="s">
        <v>526</v>
      </c>
      <c r="BLF2" t="s">
        <v>2538</v>
      </c>
      <c r="BLG2" t="s">
        <v>2629</v>
      </c>
      <c r="BLK2" t="s">
        <v>262</v>
      </c>
      <c r="BLL2" t="s">
        <v>527</v>
      </c>
      <c r="BLM2" t="s">
        <v>528</v>
      </c>
      <c r="BLN2" t="s">
        <v>529</v>
      </c>
      <c r="BLO2" t="s">
        <v>3384</v>
      </c>
      <c r="BLP2" t="s">
        <v>3341</v>
      </c>
      <c r="BLQ2" t="s">
        <v>530</v>
      </c>
      <c r="BLR2" t="s">
        <v>1963</v>
      </c>
      <c r="BLS2" t="s">
        <v>2628</v>
      </c>
      <c r="BLW2" t="s">
        <v>531</v>
      </c>
      <c r="BLX2" t="s">
        <v>532</v>
      </c>
      <c r="BLY2" t="s">
        <v>533</v>
      </c>
      <c r="BLZ2" t="s">
        <v>534</v>
      </c>
      <c r="BMA2" t="s">
        <v>3398</v>
      </c>
      <c r="BMB2" t="s">
        <v>3342</v>
      </c>
      <c r="BMC2" t="s">
        <v>535</v>
      </c>
      <c r="BMD2" t="s">
        <v>1963</v>
      </c>
      <c r="BME2" t="s">
        <v>2628</v>
      </c>
      <c r="BMI2" t="s">
        <v>213</v>
      </c>
      <c r="BMJ2" t="s">
        <v>59</v>
      </c>
      <c r="BMK2" t="s">
        <v>209</v>
      </c>
      <c r="BML2" t="s">
        <v>210</v>
      </c>
      <c r="BMM2" t="s">
        <v>427</v>
      </c>
      <c r="BMN2" t="s">
        <v>211</v>
      </c>
      <c r="BMO2" t="s">
        <v>212</v>
      </c>
      <c r="BMP2" t="s">
        <v>1962</v>
      </c>
      <c r="BMQ2" t="s">
        <v>2625</v>
      </c>
      <c r="BMR2" t="s">
        <v>1902</v>
      </c>
      <c r="BMS2" t="s">
        <v>1900</v>
      </c>
      <c r="BMU2" t="s">
        <v>213</v>
      </c>
      <c r="BMV2" t="s">
        <v>60</v>
      </c>
      <c r="BMW2" t="s">
        <v>214</v>
      </c>
      <c r="BMX2" t="s">
        <v>2491</v>
      </c>
      <c r="BMY2" t="s">
        <v>428</v>
      </c>
      <c r="BMZ2" t="s">
        <v>215</v>
      </c>
      <c r="BNA2" t="s">
        <v>216</v>
      </c>
      <c r="BNB2" t="s">
        <v>1962</v>
      </c>
      <c r="BNC2" t="s">
        <v>2625</v>
      </c>
      <c r="BND2" t="s">
        <v>1902</v>
      </c>
      <c r="BNE2" t="s">
        <v>1900</v>
      </c>
      <c r="BNG2" t="s">
        <v>217</v>
      </c>
      <c r="BNH2" t="s">
        <v>91</v>
      </c>
      <c r="BNI2" t="s">
        <v>348</v>
      </c>
      <c r="BNJ2" t="s">
        <v>2931</v>
      </c>
      <c r="BNK2" t="s">
        <v>478</v>
      </c>
      <c r="BNL2" t="s">
        <v>349</v>
      </c>
      <c r="BNM2" t="s">
        <v>350</v>
      </c>
      <c r="BNN2" t="s">
        <v>1970</v>
      </c>
      <c r="BNO2" t="s">
        <v>2627</v>
      </c>
      <c r="BNR2" t="s">
        <v>1901</v>
      </c>
      <c r="BNS2" t="s">
        <v>217</v>
      </c>
      <c r="BNT2" t="s">
        <v>536</v>
      </c>
      <c r="BNU2" t="s">
        <v>537</v>
      </c>
      <c r="BNV2" t="s">
        <v>2546</v>
      </c>
      <c r="BNW2" t="s">
        <v>3374</v>
      </c>
      <c r="BNX2" t="s">
        <v>3343</v>
      </c>
      <c r="BNY2" t="s">
        <v>538</v>
      </c>
      <c r="BNZ2" t="s">
        <v>2538</v>
      </c>
      <c r="BOA2" t="s">
        <v>2629</v>
      </c>
      <c r="BOE2" t="s">
        <v>217</v>
      </c>
      <c r="BOF2" t="s">
        <v>92</v>
      </c>
      <c r="BOG2" t="s">
        <v>351</v>
      </c>
      <c r="BOH2" t="s">
        <v>352</v>
      </c>
      <c r="BOI2" t="s">
        <v>479</v>
      </c>
      <c r="BOJ2" t="s">
        <v>353</v>
      </c>
      <c r="BOK2" t="s">
        <v>354</v>
      </c>
      <c r="BOL2" t="s">
        <v>1962</v>
      </c>
      <c r="BOM2" t="s">
        <v>2627</v>
      </c>
      <c r="BOP2" t="s">
        <v>1901</v>
      </c>
      <c r="BOQ2" t="s">
        <v>217</v>
      </c>
      <c r="BOR2" t="s">
        <v>539</v>
      </c>
      <c r="BOS2" t="s">
        <v>540</v>
      </c>
      <c r="BOT2" t="s">
        <v>541</v>
      </c>
      <c r="BOU2" t="s">
        <v>3375</v>
      </c>
      <c r="BOV2" t="s">
        <v>3344</v>
      </c>
      <c r="BOW2" t="s">
        <v>542</v>
      </c>
      <c r="BOX2" t="s">
        <v>2538</v>
      </c>
      <c r="BOY2" t="s">
        <v>2629</v>
      </c>
      <c r="BPC2" t="s">
        <v>263</v>
      </c>
      <c r="BPD2" t="s">
        <v>93</v>
      </c>
      <c r="BPE2" t="s">
        <v>355</v>
      </c>
      <c r="BPF2" t="s">
        <v>356</v>
      </c>
      <c r="BPG2" t="s">
        <v>480</v>
      </c>
      <c r="BPH2" t="s">
        <v>357</v>
      </c>
      <c r="BPI2" t="s">
        <v>358</v>
      </c>
      <c r="BPJ2" t="s">
        <v>158</v>
      </c>
      <c r="BPK2" t="s">
        <v>2627</v>
      </c>
      <c r="BPN2" t="s">
        <v>1901</v>
      </c>
      <c r="BPO2" t="s">
        <v>359</v>
      </c>
      <c r="BPP2" t="s">
        <v>543</v>
      </c>
      <c r="BPQ2" t="s">
        <v>544</v>
      </c>
      <c r="BPR2" t="s">
        <v>545</v>
      </c>
      <c r="BPS2" t="s">
        <v>3389</v>
      </c>
      <c r="BPT2" t="s">
        <v>3345</v>
      </c>
      <c r="BPU2" t="s">
        <v>546</v>
      </c>
      <c r="BPV2" t="s">
        <v>1963</v>
      </c>
      <c r="BPW2" t="s">
        <v>2629</v>
      </c>
      <c r="BQA2" t="s">
        <v>222</v>
      </c>
      <c r="BQB2" t="s">
        <v>547</v>
      </c>
      <c r="BQC2" t="s">
        <v>548</v>
      </c>
      <c r="BQD2" t="s">
        <v>2554</v>
      </c>
      <c r="BQE2" t="s">
        <v>3390</v>
      </c>
      <c r="BQF2" t="s">
        <v>3346</v>
      </c>
      <c r="BQG2" t="s">
        <v>549</v>
      </c>
      <c r="BQH2" t="s">
        <v>1963</v>
      </c>
      <c r="BQI2" t="s">
        <v>2629</v>
      </c>
      <c r="BQM2" t="s">
        <v>222</v>
      </c>
      <c r="BQN2" t="s">
        <v>94</v>
      </c>
      <c r="BQO2" t="s">
        <v>360</v>
      </c>
      <c r="BQP2" t="s">
        <v>361</v>
      </c>
      <c r="BQQ2" t="s">
        <v>481</v>
      </c>
      <c r="BQR2" t="s">
        <v>362</v>
      </c>
      <c r="BQS2" t="s">
        <v>363</v>
      </c>
      <c r="BQT2" t="s">
        <v>364</v>
      </c>
      <c r="BQU2" t="s">
        <v>2634</v>
      </c>
      <c r="BQX2" t="s">
        <v>1901</v>
      </c>
      <c r="BQY2" t="s">
        <v>222</v>
      </c>
      <c r="BQZ2" t="s">
        <v>61</v>
      </c>
      <c r="BRA2" t="s">
        <v>218</v>
      </c>
      <c r="BRB2" t="s">
        <v>219</v>
      </c>
      <c r="BRC2" t="s">
        <v>429</v>
      </c>
      <c r="BRD2" t="s">
        <v>220</v>
      </c>
      <c r="BRE2" t="s">
        <v>221</v>
      </c>
      <c r="BRF2" t="s">
        <v>2557</v>
      </c>
      <c r="BRG2" t="s">
        <v>2625</v>
      </c>
      <c r="BRH2" t="s">
        <v>1902</v>
      </c>
      <c r="BRI2" t="s">
        <v>1900</v>
      </c>
      <c r="BRK2" t="s">
        <v>222</v>
      </c>
      <c r="BRL2" t="s">
        <v>550</v>
      </c>
      <c r="BRM2" t="s">
        <v>551</v>
      </c>
      <c r="BRN2" t="s">
        <v>552</v>
      </c>
      <c r="BRO2" t="s">
        <v>3391</v>
      </c>
      <c r="BRP2" t="s">
        <v>3347</v>
      </c>
      <c r="BRQ2" t="s">
        <v>553</v>
      </c>
      <c r="BRR2" t="s">
        <v>1963</v>
      </c>
      <c r="BRS2" t="s">
        <v>2629</v>
      </c>
      <c r="BRW2" t="s">
        <v>222</v>
      </c>
      <c r="BRX2" t="s">
        <v>554</v>
      </c>
      <c r="BRY2" t="s">
        <v>555</v>
      </c>
      <c r="BRZ2" t="s">
        <v>556</v>
      </c>
      <c r="BSA2" t="s">
        <v>3383</v>
      </c>
      <c r="BSB2" t="s">
        <v>3348</v>
      </c>
      <c r="BSC2" t="s">
        <v>557</v>
      </c>
      <c r="BSD2" t="s">
        <v>1963</v>
      </c>
      <c r="BSE2" t="s">
        <v>2629</v>
      </c>
      <c r="BSI2" t="s">
        <v>222</v>
      </c>
      <c r="BSJ2" t="s">
        <v>558</v>
      </c>
      <c r="BSK2" t="s">
        <v>559</v>
      </c>
      <c r="BSL2" t="s">
        <v>560</v>
      </c>
      <c r="BSM2" t="s">
        <v>3388</v>
      </c>
      <c r="BSN2" t="s">
        <v>3349</v>
      </c>
      <c r="BSO2" t="s">
        <v>561</v>
      </c>
      <c r="BSP2" t="s">
        <v>1963</v>
      </c>
      <c r="BSQ2" t="s">
        <v>2629</v>
      </c>
      <c r="BSU2" t="s">
        <v>222</v>
      </c>
      <c r="BSV2" t="s">
        <v>71</v>
      </c>
      <c r="BSW2" t="s">
        <v>264</v>
      </c>
      <c r="BSX2" t="s">
        <v>265</v>
      </c>
      <c r="BSY2" t="s">
        <v>457</v>
      </c>
      <c r="BSZ2" t="s">
        <v>266</v>
      </c>
      <c r="BTA2" t="s">
        <v>267</v>
      </c>
      <c r="BTB2" t="s">
        <v>1962</v>
      </c>
      <c r="BTC2" t="s">
        <v>2626</v>
      </c>
      <c r="BTE2" t="s">
        <v>1900</v>
      </c>
      <c r="BTG2" t="s">
        <v>268</v>
      </c>
      <c r="BTH2" t="s">
        <v>562</v>
      </c>
      <c r="BTI2" t="s">
        <v>563</v>
      </c>
      <c r="BTJ2" t="s">
        <v>2563</v>
      </c>
      <c r="BTK2" t="s">
        <v>3399</v>
      </c>
      <c r="BTL2" t="s">
        <v>3350</v>
      </c>
      <c r="BTM2" t="s">
        <v>564</v>
      </c>
      <c r="BTN2" t="s">
        <v>3400</v>
      </c>
      <c r="BTO2" t="s">
        <v>2629</v>
      </c>
      <c r="BTS2" t="s">
        <v>268</v>
      </c>
      <c r="BTT2" t="s">
        <v>72</v>
      </c>
      <c r="BTU2" t="s">
        <v>269</v>
      </c>
      <c r="BTV2" t="s">
        <v>270</v>
      </c>
      <c r="BTW2" t="s">
        <v>458</v>
      </c>
      <c r="BTX2" t="s">
        <v>271</v>
      </c>
      <c r="BTY2" t="s">
        <v>272</v>
      </c>
      <c r="BTZ2" t="s">
        <v>1962</v>
      </c>
      <c r="BUA2" t="s">
        <v>2630</v>
      </c>
      <c r="BUC2" t="s">
        <v>1900</v>
      </c>
      <c r="BUD2" t="s">
        <v>1901</v>
      </c>
      <c r="BUE2" t="s">
        <v>268</v>
      </c>
      <c r="BUF2" t="s">
        <v>73</v>
      </c>
      <c r="BUG2" t="s">
        <v>273</v>
      </c>
      <c r="BUH2" t="s">
        <v>274</v>
      </c>
      <c r="BUI2" t="s">
        <v>459</v>
      </c>
      <c r="BUJ2" t="s">
        <v>275</v>
      </c>
      <c r="BUK2" t="s">
        <v>276</v>
      </c>
      <c r="BUL2" t="s">
        <v>1962</v>
      </c>
      <c r="BUM2" t="s">
        <v>2630</v>
      </c>
      <c r="BUO2" t="s">
        <v>1900</v>
      </c>
      <c r="BUP2" t="s">
        <v>1901</v>
      </c>
      <c r="BUQ2" t="s">
        <v>268</v>
      </c>
      <c r="BUR2" t="s">
        <v>74</v>
      </c>
      <c r="BUS2" t="s">
        <v>277</v>
      </c>
      <c r="BUT2" t="s">
        <v>278</v>
      </c>
      <c r="BUU2" t="s">
        <v>460</v>
      </c>
      <c r="BUV2" t="s">
        <v>279</v>
      </c>
      <c r="BUW2" t="s">
        <v>280</v>
      </c>
      <c r="BUX2" t="s">
        <v>1962</v>
      </c>
      <c r="BUY2" t="s">
        <v>2626</v>
      </c>
      <c r="BVA2" t="s">
        <v>1900</v>
      </c>
      <c r="BVC2" t="s">
        <v>268</v>
      </c>
      <c r="BVD2" t="s">
        <v>565</v>
      </c>
      <c r="BVE2" t="s">
        <v>566</v>
      </c>
      <c r="BVF2" t="s">
        <v>567</v>
      </c>
      <c r="BVG2" t="s">
        <v>3401</v>
      </c>
      <c r="BVH2" t="s">
        <v>3351</v>
      </c>
      <c r="BVI2" t="s">
        <v>568</v>
      </c>
      <c r="BVJ2" t="s">
        <v>1971</v>
      </c>
      <c r="BVK2" t="s">
        <v>2629</v>
      </c>
      <c r="BVO2" t="s">
        <v>268</v>
      </c>
      <c r="BVP2" t="s">
        <v>153</v>
      </c>
      <c r="BVQ2" t="s">
        <v>569</v>
      </c>
      <c r="BVR2" t="s">
        <v>570</v>
      </c>
      <c r="BVS2" t="s">
        <v>496</v>
      </c>
      <c r="BVT2" t="s">
        <v>3352</v>
      </c>
      <c r="BVU2" t="s">
        <v>571</v>
      </c>
      <c r="BVV2" t="s">
        <v>1964</v>
      </c>
      <c r="BVW2" t="s">
        <v>2629</v>
      </c>
      <c r="BWA2" t="s">
        <v>227</v>
      </c>
      <c r="BWB2" t="s">
        <v>95</v>
      </c>
      <c r="BWC2" t="s">
        <v>365</v>
      </c>
      <c r="BWD2" t="s">
        <v>366</v>
      </c>
      <c r="BWE2" t="s">
        <v>482</v>
      </c>
      <c r="BWF2" t="s">
        <v>367</v>
      </c>
      <c r="BWG2" t="s">
        <v>368</v>
      </c>
      <c r="BWH2" t="s">
        <v>1962</v>
      </c>
      <c r="BWI2" t="s">
        <v>2627</v>
      </c>
      <c r="BWL2" t="s">
        <v>1901</v>
      </c>
      <c r="BWM2" t="s">
        <v>227</v>
      </c>
      <c r="BWN2" t="s">
        <v>62</v>
      </c>
      <c r="BWO2" t="s">
        <v>223</v>
      </c>
      <c r="BWP2" t="s">
        <v>224</v>
      </c>
      <c r="BWQ2" t="s">
        <v>430</v>
      </c>
      <c r="BWR2" t="s">
        <v>225</v>
      </c>
      <c r="BWS2" t="s">
        <v>226</v>
      </c>
      <c r="BWT2" t="s">
        <v>2557</v>
      </c>
      <c r="BWU2" t="s">
        <v>2631</v>
      </c>
      <c r="BWV2" t="s">
        <v>1902</v>
      </c>
      <c r="BWW2" t="s">
        <v>1900</v>
      </c>
      <c r="BWX2" t="s">
        <v>1901</v>
      </c>
      <c r="BWY2" t="s">
        <v>227</v>
      </c>
      <c r="BWZ2" t="s">
        <v>96</v>
      </c>
      <c r="BXA2" t="s">
        <v>369</v>
      </c>
      <c r="BXB2" t="s">
        <v>370</v>
      </c>
      <c r="BXC2" t="s">
        <v>483</v>
      </c>
      <c r="BXD2" t="s">
        <v>371</v>
      </c>
      <c r="BXE2" t="s">
        <v>372</v>
      </c>
      <c r="BXF2" t="s">
        <v>1962</v>
      </c>
      <c r="BXG2" t="s">
        <v>2627</v>
      </c>
      <c r="BXJ2" t="s">
        <v>1901</v>
      </c>
      <c r="BXK2" t="s">
        <v>227</v>
      </c>
      <c r="BXL2" t="s">
        <v>97</v>
      </c>
      <c r="BXM2" t="s">
        <v>373</v>
      </c>
      <c r="BXN2" t="s">
        <v>2493</v>
      </c>
      <c r="BXO2" t="s">
        <v>484</v>
      </c>
      <c r="BXP2" t="s">
        <v>374</v>
      </c>
      <c r="BXQ2" t="s">
        <v>375</v>
      </c>
      <c r="BXR2" t="s">
        <v>111</v>
      </c>
      <c r="BXS2" t="s">
        <v>2627</v>
      </c>
      <c r="BXV2" t="s">
        <v>1901</v>
      </c>
      <c r="BXW2" t="s">
        <v>227</v>
      </c>
      <c r="BXX2" t="s">
        <v>98</v>
      </c>
      <c r="BXY2" t="s">
        <v>376</v>
      </c>
      <c r="BXZ2" t="s">
        <v>377</v>
      </c>
      <c r="BYA2" t="s">
        <v>485</v>
      </c>
      <c r="BYB2" t="s">
        <v>378</v>
      </c>
      <c r="BYC2" t="s">
        <v>379</v>
      </c>
      <c r="BYD2" t="s">
        <v>111</v>
      </c>
      <c r="BYE2" t="s">
        <v>2627</v>
      </c>
      <c r="BYH2" t="s">
        <v>1901</v>
      </c>
      <c r="BYI2" t="s">
        <v>227</v>
      </c>
      <c r="BYJ2" t="s">
        <v>572</v>
      </c>
      <c r="BYK2" t="s">
        <v>573</v>
      </c>
      <c r="BYL2" t="s">
        <v>574</v>
      </c>
      <c r="BYM2" t="s">
        <v>3402</v>
      </c>
      <c r="BYN2" t="s">
        <v>3353</v>
      </c>
      <c r="BYO2" t="s">
        <v>575</v>
      </c>
      <c r="BYP2" t="s">
        <v>2538</v>
      </c>
      <c r="BYQ2" t="s">
        <v>2629</v>
      </c>
      <c r="BYU2" t="s">
        <v>227</v>
      </c>
      <c r="BYV2" t="s">
        <v>63</v>
      </c>
      <c r="BYW2" t="s">
        <v>228</v>
      </c>
      <c r="BYX2" t="s">
        <v>229</v>
      </c>
      <c r="BYY2" t="s">
        <v>431</v>
      </c>
      <c r="BYZ2" t="s">
        <v>3354</v>
      </c>
      <c r="BZA2" t="s">
        <v>230</v>
      </c>
      <c r="BZB2" t="s">
        <v>2557</v>
      </c>
      <c r="BZC2" t="s">
        <v>2635</v>
      </c>
      <c r="BZD2" t="s">
        <v>1902</v>
      </c>
      <c r="BZF2" t="s">
        <v>1901</v>
      </c>
      <c r="BZG2" t="s">
        <v>227</v>
      </c>
      <c r="BZH2" t="s">
        <v>99</v>
      </c>
      <c r="BZI2" t="s">
        <v>380</v>
      </c>
      <c r="BZJ2" t="s">
        <v>381</v>
      </c>
      <c r="BZK2" t="s">
        <v>486</v>
      </c>
      <c r="BZL2" t="s">
        <v>382</v>
      </c>
      <c r="BZM2" t="s">
        <v>383</v>
      </c>
      <c r="BZN2" t="s">
        <v>1970</v>
      </c>
      <c r="BZO2" t="s">
        <v>2627</v>
      </c>
      <c r="BZR2" t="s">
        <v>1901</v>
      </c>
      <c r="BZS2" t="s">
        <v>227</v>
      </c>
      <c r="BZT2" t="s">
        <v>576</v>
      </c>
      <c r="BZU2" t="s">
        <v>577</v>
      </c>
      <c r="BZV2" t="s">
        <v>2578</v>
      </c>
      <c r="BZW2" t="s">
        <v>3378</v>
      </c>
      <c r="BZX2" t="s">
        <v>3355</v>
      </c>
      <c r="BZY2" t="s">
        <v>578</v>
      </c>
      <c r="BZZ2" t="s">
        <v>2538</v>
      </c>
      <c r="CAA2" t="s">
        <v>2629</v>
      </c>
      <c r="CAE2" t="s">
        <v>227</v>
      </c>
      <c r="CAF2" t="s">
        <v>100</v>
      </c>
      <c r="CAG2" t="s">
        <v>384</v>
      </c>
      <c r="CAH2" t="s">
        <v>2494</v>
      </c>
      <c r="CAI2" t="s">
        <v>487</v>
      </c>
      <c r="CAJ2" t="s">
        <v>385</v>
      </c>
      <c r="CAK2" t="s">
        <v>386</v>
      </c>
      <c r="CAL2" t="s">
        <v>158</v>
      </c>
      <c r="CAM2" t="s">
        <v>2627</v>
      </c>
      <c r="CAP2" t="s">
        <v>1901</v>
      </c>
      <c r="CAQ2" t="s">
        <v>227</v>
      </c>
      <c r="CAR2" t="s">
        <v>579</v>
      </c>
      <c r="CAS2" t="s">
        <v>580</v>
      </c>
      <c r="CAT2" t="s">
        <v>581</v>
      </c>
      <c r="CAU2" t="s">
        <v>582</v>
      </c>
      <c r="CAV2" t="s">
        <v>3356</v>
      </c>
      <c r="CAW2" t="s">
        <v>583</v>
      </c>
      <c r="CAX2" t="s">
        <v>1968</v>
      </c>
      <c r="CAY2" t="s">
        <v>2629</v>
      </c>
      <c r="CBC2" t="s">
        <v>227</v>
      </c>
      <c r="CBD2" t="s">
        <v>140</v>
      </c>
      <c r="CBE2" t="s">
        <v>584</v>
      </c>
      <c r="CBF2" t="s">
        <v>585</v>
      </c>
      <c r="CBG2" t="s">
        <v>3382</v>
      </c>
      <c r="CBH2" t="s">
        <v>3357</v>
      </c>
      <c r="CBI2" t="s">
        <v>586</v>
      </c>
      <c r="CBJ2" t="s">
        <v>1963</v>
      </c>
      <c r="CBK2" t="s">
        <v>2629</v>
      </c>
      <c r="CBO2" t="s">
        <v>285</v>
      </c>
      <c r="CBP2" t="s">
        <v>156</v>
      </c>
      <c r="CBQ2" t="s">
        <v>587</v>
      </c>
      <c r="CBR2" t="s">
        <v>588</v>
      </c>
      <c r="CBS2" t="s">
        <v>3387</v>
      </c>
      <c r="CBT2" t="s">
        <v>3358</v>
      </c>
      <c r="CBU2" t="s">
        <v>589</v>
      </c>
      <c r="CBV2" t="s">
        <v>1963</v>
      </c>
      <c r="CBW2" t="s">
        <v>2629</v>
      </c>
      <c r="CCA2" t="s">
        <v>285</v>
      </c>
      <c r="CCB2" t="s">
        <v>75</v>
      </c>
      <c r="CCC2" t="s">
        <v>281</v>
      </c>
      <c r="CCD2" t="s">
        <v>282</v>
      </c>
      <c r="CCE2" t="s">
        <v>461</v>
      </c>
      <c r="CCF2" t="s">
        <v>283</v>
      </c>
      <c r="CCG2" t="s">
        <v>284</v>
      </c>
      <c r="CCH2" t="s">
        <v>111</v>
      </c>
      <c r="CCI2" t="s">
        <v>2626</v>
      </c>
      <c r="CCK2" t="s">
        <v>1900</v>
      </c>
      <c r="CCM2" t="s">
        <v>285</v>
      </c>
      <c r="CCN2" t="s">
        <v>590</v>
      </c>
      <c r="CCO2" t="s">
        <v>591</v>
      </c>
      <c r="CCP2" t="s">
        <v>1959</v>
      </c>
      <c r="CCQ2" t="s">
        <v>3386</v>
      </c>
      <c r="CCR2" t="s">
        <v>3359</v>
      </c>
      <c r="CCS2" t="s">
        <v>592</v>
      </c>
      <c r="CCT2" t="s">
        <v>1963</v>
      </c>
      <c r="CCU2" t="s">
        <v>2629</v>
      </c>
      <c r="CCY2" t="s">
        <v>285</v>
      </c>
      <c r="CCZ2" t="s">
        <v>76</v>
      </c>
      <c r="CDA2" t="s">
        <v>286</v>
      </c>
      <c r="CDB2" t="s">
        <v>287</v>
      </c>
      <c r="CDC2" t="s">
        <v>462</v>
      </c>
      <c r="CDD2" t="s">
        <v>288</v>
      </c>
      <c r="CDE2" t="s">
        <v>289</v>
      </c>
      <c r="CDF2" t="s">
        <v>1962</v>
      </c>
      <c r="CDG2" t="s">
        <v>2630</v>
      </c>
      <c r="CDI2" t="s">
        <v>1900</v>
      </c>
      <c r="CDJ2" t="s">
        <v>1901</v>
      </c>
      <c r="CDK2" t="s">
        <v>285</v>
      </c>
      <c r="CDL2" t="s">
        <v>77</v>
      </c>
      <c r="CDM2" t="s">
        <v>290</v>
      </c>
      <c r="CDN2" t="s">
        <v>291</v>
      </c>
      <c r="CDO2" t="s">
        <v>463</v>
      </c>
      <c r="CDP2" t="s">
        <v>292</v>
      </c>
      <c r="CDQ2" t="s">
        <v>293</v>
      </c>
      <c r="CDR2" t="s">
        <v>1962</v>
      </c>
      <c r="CDS2" t="s">
        <v>2626</v>
      </c>
      <c r="CDU2" t="s">
        <v>1900</v>
      </c>
      <c r="CDW2" t="s">
        <v>285</v>
      </c>
      <c r="CDX2" t="s">
        <v>593</v>
      </c>
      <c r="CDY2" t="s">
        <v>594</v>
      </c>
      <c r="CDZ2" t="s">
        <v>595</v>
      </c>
      <c r="CEA2" t="s">
        <v>3377</v>
      </c>
      <c r="CEB2" t="s">
        <v>3360</v>
      </c>
      <c r="CEC2" t="s">
        <v>596</v>
      </c>
      <c r="CED2" t="s">
        <v>1968</v>
      </c>
      <c r="CEE2" t="s">
        <v>2629</v>
      </c>
      <c r="CEI2" t="s">
        <v>285</v>
      </c>
      <c r="CEJ2" t="s">
        <v>155</v>
      </c>
      <c r="CEK2" t="s">
        <v>597</v>
      </c>
      <c r="CEL2" t="s">
        <v>598</v>
      </c>
      <c r="CEM2" t="s">
        <v>497</v>
      </c>
      <c r="CEN2" t="s">
        <v>3361</v>
      </c>
      <c r="CEO2" t="s">
        <v>599</v>
      </c>
      <c r="CEP2" t="s">
        <v>1968</v>
      </c>
      <c r="CEQ2" t="s">
        <v>2629</v>
      </c>
      <c r="CEU2" t="s">
        <v>387</v>
      </c>
      <c r="CEV2" t="s">
        <v>64</v>
      </c>
      <c r="CEW2" t="s">
        <v>231</v>
      </c>
      <c r="CEX2" t="s">
        <v>232</v>
      </c>
      <c r="CEY2" t="s">
        <v>432</v>
      </c>
      <c r="CEZ2" t="s">
        <v>233</v>
      </c>
      <c r="CFA2" t="s">
        <v>234</v>
      </c>
      <c r="CFB2" t="s">
        <v>111</v>
      </c>
      <c r="CFC2" t="s">
        <v>2631</v>
      </c>
      <c r="CFD2" t="s">
        <v>1902</v>
      </c>
      <c r="CFE2" t="s">
        <v>1900</v>
      </c>
      <c r="CFF2" t="s">
        <v>1901</v>
      </c>
      <c r="CFG2" t="s">
        <v>235</v>
      </c>
      <c r="CFH2" t="s">
        <v>65</v>
      </c>
      <c r="CFI2" t="s">
        <v>236</v>
      </c>
      <c r="CFJ2" t="s">
        <v>237</v>
      </c>
      <c r="CFK2" t="s">
        <v>433</v>
      </c>
      <c r="CFL2" t="s">
        <v>238</v>
      </c>
      <c r="CFM2" t="s">
        <v>239</v>
      </c>
      <c r="CFN2" t="s">
        <v>1962</v>
      </c>
      <c r="CFO2" t="s">
        <v>2631</v>
      </c>
      <c r="CFP2" t="s">
        <v>1902</v>
      </c>
      <c r="CFQ2" t="s">
        <v>1900</v>
      </c>
      <c r="CFR2" t="s">
        <v>1901</v>
      </c>
      <c r="CFS2" t="s">
        <v>235</v>
      </c>
      <c r="CFT2" t="s">
        <v>600</v>
      </c>
      <c r="CFU2" t="s">
        <v>601</v>
      </c>
      <c r="CFV2" t="s">
        <v>602</v>
      </c>
      <c r="CFW2" t="s">
        <v>3403</v>
      </c>
      <c r="CFX2" t="s">
        <v>3362</v>
      </c>
      <c r="CFY2" t="s">
        <v>603</v>
      </c>
      <c r="CFZ2" t="s">
        <v>1963</v>
      </c>
      <c r="CGA2" t="s">
        <v>2629</v>
      </c>
      <c r="CGE2" t="s">
        <v>235</v>
      </c>
      <c r="CGF2" t="s">
        <v>101</v>
      </c>
      <c r="CGG2" t="s">
        <v>388</v>
      </c>
      <c r="CGH2" t="s">
        <v>389</v>
      </c>
      <c r="CGI2" t="s">
        <v>488</v>
      </c>
      <c r="CGJ2" t="s">
        <v>390</v>
      </c>
      <c r="CGK2" t="s">
        <v>391</v>
      </c>
      <c r="CGL2" t="s">
        <v>1962</v>
      </c>
      <c r="CGM2" t="s">
        <v>2627</v>
      </c>
      <c r="CGP2" t="s">
        <v>1901</v>
      </c>
      <c r="CGQ2" t="s">
        <v>235</v>
      </c>
      <c r="CGR2" t="s">
        <v>78</v>
      </c>
      <c r="CGS2" t="s">
        <v>294</v>
      </c>
      <c r="CGT2" t="s">
        <v>2492</v>
      </c>
      <c r="CGU2" t="s">
        <v>464</v>
      </c>
      <c r="CGV2" t="s">
        <v>295</v>
      </c>
      <c r="CGW2" t="s">
        <v>296</v>
      </c>
      <c r="CGX2" t="s">
        <v>2557</v>
      </c>
      <c r="CGY2" t="s">
        <v>2630</v>
      </c>
      <c r="CHA2" t="s">
        <v>1900</v>
      </c>
      <c r="CHB2" t="s">
        <v>1901</v>
      </c>
      <c r="CHC2" t="s">
        <v>235</v>
      </c>
      <c r="CHD2" t="s">
        <v>102</v>
      </c>
      <c r="CHE2" t="s">
        <v>392</v>
      </c>
      <c r="CHF2" t="s">
        <v>393</v>
      </c>
      <c r="CHG2" t="s">
        <v>489</v>
      </c>
      <c r="CHH2" t="s">
        <v>394</v>
      </c>
      <c r="CHI2" t="s">
        <v>395</v>
      </c>
      <c r="CHJ2" t="s">
        <v>111</v>
      </c>
      <c r="CHK2" t="s">
        <v>2627</v>
      </c>
      <c r="CHN2" t="s">
        <v>1901</v>
      </c>
      <c r="CHO2" t="s">
        <v>235</v>
      </c>
      <c r="CHP2" t="s">
        <v>79</v>
      </c>
      <c r="CHQ2" t="s">
        <v>297</v>
      </c>
      <c r="CHR2" t="s">
        <v>298</v>
      </c>
      <c r="CHS2" t="s">
        <v>445</v>
      </c>
      <c r="CHT2" t="s">
        <v>299</v>
      </c>
      <c r="CHU2" t="s">
        <v>300</v>
      </c>
      <c r="CHV2" t="s">
        <v>3404</v>
      </c>
      <c r="CHW2" t="s">
        <v>2626</v>
      </c>
      <c r="CHY2" t="s">
        <v>1900</v>
      </c>
      <c r="CIA2" t="s">
        <v>301</v>
      </c>
      <c r="CIB2" t="s">
        <v>604</v>
      </c>
      <c r="CIC2" t="s">
        <v>605</v>
      </c>
      <c r="CID2" t="s">
        <v>606</v>
      </c>
      <c r="CIE2" t="s">
        <v>3405</v>
      </c>
      <c r="CIF2" t="s">
        <v>3363</v>
      </c>
      <c r="CIG2" t="s">
        <v>607</v>
      </c>
      <c r="CIH2" t="s">
        <v>1965</v>
      </c>
      <c r="CII2" t="s">
        <v>2629</v>
      </c>
      <c r="CIM2" t="s">
        <v>301</v>
      </c>
      <c r="CIN2" t="s">
        <v>2289</v>
      </c>
      <c r="CIO2" t="s">
        <v>2598</v>
      </c>
      <c r="CIP2" s="10" t="s">
        <v>3406</v>
      </c>
      <c r="CIQ2" t="s">
        <v>3407</v>
      </c>
      <c r="CIR2" t="s">
        <v>3364</v>
      </c>
      <c r="CIS2" t="s">
        <v>2599</v>
      </c>
      <c r="CIY2" t="s">
        <v>301</v>
      </c>
      <c r="CIZ2" t="s">
        <v>80</v>
      </c>
      <c r="CJA2" t="s">
        <v>302</v>
      </c>
      <c r="CJB2" t="s">
        <v>303</v>
      </c>
      <c r="CJC2" t="s">
        <v>465</v>
      </c>
      <c r="CJD2" t="s">
        <v>304</v>
      </c>
      <c r="CJE2" t="s">
        <v>305</v>
      </c>
      <c r="CJF2" t="s">
        <v>1970</v>
      </c>
      <c r="CJG2" t="s">
        <v>2626</v>
      </c>
      <c r="CJI2" t="s">
        <v>1900</v>
      </c>
      <c r="CJK2" t="s">
        <v>306</v>
      </c>
      <c r="CJL2" t="s">
        <v>137</v>
      </c>
      <c r="CJM2" t="s">
        <v>608</v>
      </c>
      <c r="CJN2" t="s">
        <v>609</v>
      </c>
      <c r="CJO2" t="s">
        <v>3380</v>
      </c>
      <c r="CJP2" t="s">
        <v>3365</v>
      </c>
      <c r="CJQ2" t="s">
        <v>610</v>
      </c>
      <c r="CJR2" t="s">
        <v>1963</v>
      </c>
      <c r="CJS2" t="s">
        <v>2629</v>
      </c>
      <c r="CJW2" t="s">
        <v>306</v>
      </c>
      <c r="CJX2" t="s">
        <v>139</v>
      </c>
      <c r="CJY2" t="s">
        <v>611</v>
      </c>
      <c r="CJZ2" t="s">
        <v>612</v>
      </c>
      <c r="CKA2" t="s">
        <v>3408</v>
      </c>
      <c r="CKB2" t="s">
        <v>3366</v>
      </c>
      <c r="CKC2" t="s">
        <v>2605</v>
      </c>
      <c r="CKD2" t="s">
        <v>1972</v>
      </c>
      <c r="CKE2" t="s">
        <v>2629</v>
      </c>
      <c r="CKI2" t="s">
        <v>306</v>
      </c>
      <c r="CKJ2" t="s">
        <v>138</v>
      </c>
      <c r="CKK2" t="s">
        <v>613</v>
      </c>
      <c r="CKL2" t="s">
        <v>614</v>
      </c>
      <c r="CKM2" t="s">
        <v>3385</v>
      </c>
      <c r="CKN2" t="s">
        <v>3367</v>
      </c>
      <c r="CKO2" t="s">
        <v>615</v>
      </c>
      <c r="CKP2" t="s">
        <v>1962</v>
      </c>
      <c r="CKQ2" t="s">
        <v>2629</v>
      </c>
      <c r="CKU2" t="s">
        <v>306</v>
      </c>
      <c r="CKV2" t="s">
        <v>81</v>
      </c>
      <c r="CKW2" t="s">
        <v>307</v>
      </c>
      <c r="CKX2" t="s">
        <v>308</v>
      </c>
      <c r="CKY2" t="s">
        <v>466</v>
      </c>
      <c r="CKZ2" t="s">
        <v>309</v>
      </c>
      <c r="CLA2" t="s">
        <v>310</v>
      </c>
      <c r="CLB2" t="s">
        <v>1962</v>
      </c>
      <c r="CLC2" t="s">
        <v>2630</v>
      </c>
      <c r="CLE2" t="s">
        <v>1900</v>
      </c>
      <c r="CLF2" t="s">
        <v>1901</v>
      </c>
      <c r="CLG2" t="s">
        <v>306</v>
      </c>
      <c r="CLH2" t="s">
        <v>103</v>
      </c>
      <c r="CLI2" t="s">
        <v>396</v>
      </c>
      <c r="CLJ2" t="s">
        <v>397</v>
      </c>
      <c r="CLK2" t="s">
        <v>490</v>
      </c>
      <c r="CLL2" t="s">
        <v>398</v>
      </c>
      <c r="CLM2" t="s">
        <v>399</v>
      </c>
      <c r="CLN2" t="s">
        <v>1962</v>
      </c>
      <c r="CLO2" t="s">
        <v>2627</v>
      </c>
      <c r="CLR2" t="s">
        <v>1901</v>
      </c>
      <c r="CLS2" t="s">
        <v>306</v>
      </c>
      <c r="CLT2" t="s">
        <v>104</v>
      </c>
      <c r="CLU2" t="s">
        <v>400</v>
      </c>
      <c r="CLV2" t="s">
        <v>401</v>
      </c>
      <c r="CLW2" t="s">
        <v>491</v>
      </c>
      <c r="CLX2" t="s">
        <v>402</v>
      </c>
      <c r="CLY2" t="s">
        <v>403</v>
      </c>
      <c r="CLZ2" t="s">
        <v>1973</v>
      </c>
      <c r="CMA2" t="s">
        <v>2627</v>
      </c>
      <c r="CMD2" t="s">
        <v>1901</v>
      </c>
      <c r="CME2" t="s">
        <v>306</v>
      </c>
      <c r="CMF2" t="s">
        <v>616</v>
      </c>
      <c r="CMG2" t="s">
        <v>617</v>
      </c>
      <c r="CMH2" t="s">
        <v>618</v>
      </c>
      <c r="CMI2" t="s">
        <v>3409</v>
      </c>
      <c r="CMJ2" t="s">
        <v>3368</v>
      </c>
      <c r="CMK2" t="s">
        <v>619</v>
      </c>
      <c r="CML2" t="s">
        <v>1971</v>
      </c>
      <c r="CMM2" t="s">
        <v>2629</v>
      </c>
      <c r="CMQ2" t="s">
        <v>306</v>
      </c>
      <c r="CMR2" t="s">
        <v>105</v>
      </c>
      <c r="CMS2" t="s">
        <v>404</v>
      </c>
      <c r="CMT2" t="s">
        <v>405</v>
      </c>
      <c r="CMU2" t="s">
        <v>492</v>
      </c>
      <c r="CMV2" t="s">
        <v>406</v>
      </c>
      <c r="CMW2" t="s">
        <v>407</v>
      </c>
      <c r="CMX2" t="s">
        <v>1962</v>
      </c>
      <c r="CMY2" t="s">
        <v>2630</v>
      </c>
      <c r="CMZ2" t="s">
        <v>1900</v>
      </c>
      <c r="CNB2" t="s">
        <v>1901</v>
      </c>
      <c r="CNC2" t="s">
        <v>306</v>
      </c>
      <c r="CND2" t="s">
        <v>151</v>
      </c>
      <c r="CNE2" t="s">
        <v>620</v>
      </c>
      <c r="CNF2" t="s">
        <v>621</v>
      </c>
      <c r="CNG2" t="s">
        <v>3410</v>
      </c>
      <c r="CNH2" t="s">
        <v>3369</v>
      </c>
      <c r="CNI2" t="s">
        <v>622</v>
      </c>
      <c r="CNJ2" t="s">
        <v>1964</v>
      </c>
      <c r="CNK2" t="s">
        <v>2629</v>
      </c>
      <c r="CNO2" t="s">
        <v>311</v>
      </c>
      <c r="CNP2" t="s">
        <v>2290</v>
      </c>
      <c r="CNQ2" t="s">
        <v>2614</v>
      </c>
      <c r="CNR2" t="s">
        <v>2615</v>
      </c>
      <c r="CNS2" t="s">
        <v>3411</v>
      </c>
      <c r="CNT2" t="s">
        <v>3370</v>
      </c>
      <c r="CNU2" t="s">
        <v>2616</v>
      </c>
      <c r="COA2" t="s">
        <v>311</v>
      </c>
      <c r="COB2" t="s">
        <v>106</v>
      </c>
      <c r="COC2" t="s">
        <v>408</v>
      </c>
      <c r="COD2" t="s">
        <v>409</v>
      </c>
      <c r="COE2" t="s">
        <v>493</v>
      </c>
      <c r="COF2" t="s">
        <v>410</v>
      </c>
      <c r="COG2" t="s">
        <v>411</v>
      </c>
      <c r="COH2" t="s">
        <v>1974</v>
      </c>
      <c r="COI2" t="s">
        <v>2627</v>
      </c>
      <c r="COL2" t="s">
        <v>1901</v>
      </c>
      <c r="COM2" t="s">
        <v>311</v>
      </c>
      <c r="CON2" t="s">
        <v>136</v>
      </c>
      <c r="COO2" t="s">
        <v>623</v>
      </c>
      <c r="COP2" t="s">
        <v>624</v>
      </c>
      <c r="COQ2" t="s">
        <v>3381</v>
      </c>
      <c r="COR2" t="s">
        <v>3371</v>
      </c>
      <c r="COS2" t="s">
        <v>625</v>
      </c>
      <c r="COT2" t="s">
        <v>1963</v>
      </c>
      <c r="COU2" t="s">
        <v>2629</v>
      </c>
      <c r="COY2" t="s">
        <v>311</v>
      </c>
      <c r="COZ2" t="s">
        <v>107</v>
      </c>
      <c r="CPA2" t="s">
        <v>412</v>
      </c>
      <c r="CPB2" t="s">
        <v>413</v>
      </c>
      <c r="CPC2" t="s">
        <v>494</v>
      </c>
      <c r="CPD2" t="s">
        <v>414</v>
      </c>
      <c r="CPE2" t="s">
        <v>415</v>
      </c>
      <c r="CPF2" t="s">
        <v>1962</v>
      </c>
      <c r="CPG2" t="s">
        <v>2627</v>
      </c>
      <c r="CPJ2" t="s">
        <v>1901</v>
      </c>
      <c r="CPK2" t="s">
        <v>311</v>
      </c>
      <c r="CPL2" t="s">
        <v>626</v>
      </c>
      <c r="CPM2" t="s">
        <v>627</v>
      </c>
      <c r="CPN2" t="s">
        <v>628</v>
      </c>
      <c r="CPO2" t="s">
        <v>3392</v>
      </c>
      <c r="CPP2" t="s">
        <v>3372</v>
      </c>
      <c r="CPQ2" t="s">
        <v>629</v>
      </c>
      <c r="CPR2" t="s">
        <v>1963</v>
      </c>
      <c r="CPS2" t="s">
        <v>2629</v>
      </c>
      <c r="CPW2" t="s">
        <v>630</v>
      </c>
      <c r="CPX2" t="s">
        <v>631</v>
      </c>
      <c r="CPY2" t="s">
        <v>632</v>
      </c>
      <c r="CPZ2" t="s">
        <v>2621</v>
      </c>
      <c r="CQA2" t="s">
        <v>633</v>
      </c>
      <c r="CQB2" t="s">
        <v>3373</v>
      </c>
      <c r="CQC2" t="s">
        <v>634</v>
      </c>
      <c r="CQD2" t="s">
        <v>2538</v>
      </c>
      <c r="CQE2" t="s">
        <v>2629</v>
      </c>
      <c r="CQI2" t="s">
        <v>416</v>
      </c>
      <c r="CQJ2" t="s">
        <v>66</v>
      </c>
      <c r="CQK2" t="s">
        <v>240</v>
      </c>
      <c r="CQL2" t="s">
        <v>241</v>
      </c>
      <c r="CQM2" t="s">
        <v>434</v>
      </c>
      <c r="CQN2" t="s">
        <v>242</v>
      </c>
      <c r="CQO2" t="s">
        <v>243</v>
      </c>
      <c r="CQP2" t="s">
        <v>1962</v>
      </c>
      <c r="CQQ2" t="s">
        <v>2625</v>
      </c>
      <c r="CQR2" t="s">
        <v>1902</v>
      </c>
      <c r="CQS2" t="s">
        <v>1900</v>
      </c>
      <c r="CQU2" t="s">
        <v>244</v>
      </c>
    </row>
  </sheetData>
  <phoneticPr fontId="18"/>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2667"/>
  <sheetViews>
    <sheetView topLeftCell="A2485" workbookViewId="0">
      <selection activeCell="A2519" sqref="A2519"/>
    </sheetView>
  </sheetViews>
  <sheetFormatPr defaultRowHeight="13.5"/>
  <cols>
    <col min="1" max="1" width="26" bestFit="1" customWidth="1"/>
    <col min="2" max="2" width="9" style="7"/>
  </cols>
  <sheetData>
    <row r="1" spans="1:2">
      <c r="A1" t="s">
        <v>27</v>
      </c>
      <c r="B1" t="s">
        <v>20</v>
      </c>
    </row>
    <row r="2" spans="1:2">
      <c r="A2" t="s">
        <v>28</v>
      </c>
      <c r="B2" t="s">
        <v>53</v>
      </c>
    </row>
    <row r="3" spans="1:2">
      <c r="A3" t="s">
        <v>29</v>
      </c>
      <c r="B3" t="s">
        <v>3760</v>
      </c>
    </row>
    <row r="4" spans="1:2">
      <c r="A4" t="s">
        <v>30</v>
      </c>
      <c r="B4" t="s">
        <v>187</v>
      </c>
    </row>
    <row r="5" spans="1:2">
      <c r="A5" t="s">
        <v>31</v>
      </c>
      <c r="B5" t="s">
        <v>3697</v>
      </c>
    </row>
    <row r="6" spans="1:2">
      <c r="A6" t="s">
        <v>32</v>
      </c>
      <c r="B6" t="s">
        <v>53</v>
      </c>
    </row>
    <row r="7" spans="1:2">
      <c r="A7" t="s">
        <v>3767</v>
      </c>
      <c r="B7" t="s">
        <v>2670</v>
      </c>
    </row>
    <row r="8" spans="1:2">
      <c r="A8" t="s">
        <v>33</v>
      </c>
      <c r="B8">
        <v>0</v>
      </c>
    </row>
    <row r="9" spans="1:2">
      <c r="A9" t="s">
        <v>160</v>
      </c>
      <c r="B9"/>
    </row>
    <row r="10" spans="1:2">
      <c r="A10" t="s">
        <v>3768</v>
      </c>
      <c r="B10" t="s">
        <v>3779</v>
      </c>
    </row>
    <row r="11" spans="1:2">
      <c r="A11" t="s">
        <v>34</v>
      </c>
      <c r="B11" t="s">
        <v>21</v>
      </c>
    </row>
    <row r="12" spans="1:2">
      <c r="A12" t="s">
        <v>35</v>
      </c>
      <c r="B12" t="s">
        <v>55</v>
      </c>
    </row>
    <row r="13" spans="1:2">
      <c r="A13" t="s">
        <v>36</v>
      </c>
      <c r="B13" t="s">
        <v>3757</v>
      </c>
    </row>
    <row r="14" spans="1:2">
      <c r="A14" t="s">
        <v>37</v>
      </c>
      <c r="B14" t="s">
        <v>194</v>
      </c>
    </row>
    <row r="15" spans="1:2">
      <c r="A15" t="s">
        <v>38</v>
      </c>
      <c r="B15" t="s">
        <v>3104</v>
      </c>
    </row>
    <row r="16" spans="1:2">
      <c r="A16" t="s">
        <v>39</v>
      </c>
      <c r="B16" t="s">
        <v>55</v>
      </c>
    </row>
    <row r="17" spans="1:2">
      <c r="A17" t="s">
        <v>3769</v>
      </c>
      <c r="B17" t="s">
        <v>2670</v>
      </c>
    </row>
    <row r="18" spans="1:2">
      <c r="A18" t="s">
        <v>40</v>
      </c>
      <c r="B18">
        <v>1</v>
      </c>
    </row>
    <row r="19" spans="1:2">
      <c r="A19" t="s">
        <v>161</v>
      </c>
      <c r="B19" t="s">
        <v>18</v>
      </c>
    </row>
    <row r="20" spans="1:2">
      <c r="A20" t="s">
        <v>3770</v>
      </c>
      <c r="B20" t="s">
        <v>3780</v>
      </c>
    </row>
    <row r="21" spans="1:2">
      <c r="A21" t="s">
        <v>41</v>
      </c>
      <c r="B21" t="s">
        <v>23</v>
      </c>
    </row>
    <row r="22" spans="1:2">
      <c r="A22" t="s">
        <v>42</v>
      </c>
      <c r="B22" t="s">
        <v>91</v>
      </c>
    </row>
    <row r="23" spans="1:2">
      <c r="A23" t="s">
        <v>43</v>
      </c>
      <c r="B23" t="s">
        <v>3757</v>
      </c>
    </row>
    <row r="24" spans="1:2">
      <c r="A24" t="s">
        <v>44</v>
      </c>
      <c r="B24" t="s">
        <v>349</v>
      </c>
    </row>
    <row r="25" spans="1:2">
      <c r="A25" t="s">
        <v>45</v>
      </c>
      <c r="B25" t="s">
        <v>3103</v>
      </c>
    </row>
    <row r="26" spans="1:2">
      <c r="A26" t="s">
        <v>46</v>
      </c>
      <c r="B26" t="s">
        <v>91</v>
      </c>
    </row>
    <row r="27" spans="1:2">
      <c r="A27" t="s">
        <v>3771</v>
      </c>
      <c r="B27" t="s">
        <v>2670</v>
      </c>
    </row>
    <row r="28" spans="1:2">
      <c r="A28" t="s">
        <v>47</v>
      </c>
      <c r="B28">
        <v>2</v>
      </c>
    </row>
    <row r="29" spans="1:2">
      <c r="A29" t="s">
        <v>162</v>
      </c>
      <c r="B29"/>
    </row>
    <row r="30" spans="1:2">
      <c r="A30" t="s">
        <v>3772</v>
      </c>
      <c r="B30" t="s">
        <v>3780</v>
      </c>
    </row>
    <row r="31" spans="1:2">
      <c r="A31" t="s">
        <v>635</v>
      </c>
      <c r="B31" t="s">
        <v>0</v>
      </c>
    </row>
    <row r="32" spans="1:2">
      <c r="A32" t="s">
        <v>636</v>
      </c>
      <c r="B32" t="s">
        <v>3680</v>
      </c>
    </row>
    <row r="33" spans="1:2">
      <c r="A33" t="s">
        <v>637</v>
      </c>
      <c r="B33" t="s">
        <v>3682</v>
      </c>
    </row>
    <row r="34" spans="1:2">
      <c r="A34" t="s">
        <v>638</v>
      </c>
      <c r="B34">
        <v>180209</v>
      </c>
    </row>
    <row r="35" spans="1:2">
      <c r="A35" t="s">
        <v>639</v>
      </c>
      <c r="B35" t="s">
        <v>3697</v>
      </c>
    </row>
    <row r="36" spans="1:2">
      <c r="A36" t="s">
        <v>640</v>
      </c>
      <c r="B36" t="s">
        <v>53</v>
      </c>
    </row>
    <row r="37" spans="1:2">
      <c r="A37" t="s">
        <v>694</v>
      </c>
      <c r="B37" t="s">
        <v>0</v>
      </c>
    </row>
    <row r="38" spans="1:2">
      <c r="A38" t="s">
        <v>695</v>
      </c>
      <c r="B38" t="s">
        <v>3678</v>
      </c>
    </row>
    <row r="39" spans="1:2">
      <c r="A39" t="s">
        <v>696</v>
      </c>
      <c r="B39" t="s">
        <v>3677</v>
      </c>
    </row>
    <row r="40" spans="1:2">
      <c r="A40" t="s">
        <v>697</v>
      </c>
      <c r="B40">
        <v>180205</v>
      </c>
    </row>
    <row r="41" spans="1:2">
      <c r="A41" t="s">
        <v>698</v>
      </c>
      <c r="B41" t="s">
        <v>3103</v>
      </c>
    </row>
    <row r="42" spans="1:2">
      <c r="A42" t="s">
        <v>699</v>
      </c>
      <c r="B42" t="s">
        <v>91</v>
      </c>
    </row>
    <row r="43" spans="1:2">
      <c r="A43" t="s">
        <v>700</v>
      </c>
      <c r="B43" t="s">
        <v>3671</v>
      </c>
    </row>
    <row r="44" spans="1:2">
      <c r="A44" t="s">
        <v>701</v>
      </c>
      <c r="B44" t="s">
        <v>3675</v>
      </c>
    </row>
    <row r="45" spans="1:2">
      <c r="A45" t="s">
        <v>702</v>
      </c>
      <c r="B45" t="s">
        <v>3674</v>
      </c>
    </row>
    <row r="46" spans="1:2">
      <c r="A46" t="s">
        <v>703</v>
      </c>
      <c r="B46">
        <v>180201</v>
      </c>
    </row>
    <row r="47" spans="1:2">
      <c r="A47" t="s">
        <v>704</v>
      </c>
      <c r="B47" t="s">
        <v>3715</v>
      </c>
    </row>
    <row r="48" spans="1:2">
      <c r="A48" t="s">
        <v>705</v>
      </c>
      <c r="B48" t="s">
        <v>53</v>
      </c>
    </row>
    <row r="49" spans="1:2">
      <c r="A49" t="s">
        <v>3</v>
      </c>
      <c r="B49" t="s">
        <v>0</v>
      </c>
    </row>
    <row r="50" spans="1:2">
      <c r="A50" t="s">
        <v>4</v>
      </c>
      <c r="B50" t="s">
        <v>3669</v>
      </c>
    </row>
    <row r="51" spans="1:2">
      <c r="A51" t="s">
        <v>5</v>
      </c>
      <c r="B51" t="s">
        <v>3668</v>
      </c>
    </row>
    <row r="52" spans="1:2">
      <c r="A52" t="s">
        <v>6</v>
      </c>
      <c r="B52">
        <v>180131</v>
      </c>
    </row>
    <row r="53" spans="1:2">
      <c r="A53" t="s">
        <v>7</v>
      </c>
      <c r="B53" t="s">
        <v>3712</v>
      </c>
    </row>
    <row r="54" spans="1:2">
      <c r="A54" t="s">
        <v>8</v>
      </c>
      <c r="B54" t="s">
        <v>137</v>
      </c>
    </row>
    <row r="55" spans="1:2">
      <c r="A55" t="s">
        <v>3717</v>
      </c>
      <c r="B55" t="s">
        <v>0</v>
      </c>
    </row>
    <row r="56" spans="1:2">
      <c r="A56" t="s">
        <v>3718</v>
      </c>
      <c r="B56" t="s">
        <v>3666</v>
      </c>
    </row>
    <row r="57" spans="1:2">
      <c r="A57" t="s">
        <v>3719</v>
      </c>
      <c r="B57" t="s">
        <v>3664</v>
      </c>
    </row>
    <row r="58" spans="1:2">
      <c r="A58" t="s">
        <v>3720</v>
      </c>
      <c r="B58">
        <v>180129</v>
      </c>
    </row>
    <row r="59" spans="1:2">
      <c r="A59" t="s">
        <v>3721</v>
      </c>
      <c r="B59" t="s">
        <v>3104</v>
      </c>
    </row>
    <row r="60" spans="1:2">
      <c r="A60" t="s">
        <v>3722</v>
      </c>
      <c r="B60" t="s">
        <v>55</v>
      </c>
    </row>
    <row r="61" spans="1:2">
      <c r="A61" t="s">
        <v>3723</v>
      </c>
      <c r="B61" t="s">
        <v>0</v>
      </c>
    </row>
    <row r="62" spans="1:2">
      <c r="A62" t="s">
        <v>3724</v>
      </c>
      <c r="B62" t="s">
        <v>3660</v>
      </c>
    </row>
    <row r="63" spans="1:2">
      <c r="A63" t="s">
        <v>3725</v>
      </c>
      <c r="B63" t="s">
        <v>3662</v>
      </c>
    </row>
    <row r="64" spans="1:2">
      <c r="A64" t="s">
        <v>3726</v>
      </c>
      <c r="B64">
        <v>180124</v>
      </c>
    </row>
    <row r="65" spans="1:2">
      <c r="A65" t="s">
        <v>3727</v>
      </c>
      <c r="B65" t="s">
        <v>3710</v>
      </c>
    </row>
    <row r="66" spans="1:2">
      <c r="A66" t="s">
        <v>3728</v>
      </c>
      <c r="B66" t="s">
        <v>78</v>
      </c>
    </row>
    <row r="67" spans="1:2">
      <c r="A67" t="s">
        <v>641</v>
      </c>
      <c r="B67" t="s">
        <v>3680</v>
      </c>
    </row>
    <row r="68" spans="1:2">
      <c r="A68" t="s">
        <v>642</v>
      </c>
      <c r="B68" t="s">
        <v>3686</v>
      </c>
    </row>
    <row r="69" spans="1:2">
      <c r="A69" t="s">
        <v>643</v>
      </c>
      <c r="B69" t="s">
        <v>187</v>
      </c>
    </row>
    <row r="70" spans="1:2">
      <c r="A70" t="s">
        <v>644</v>
      </c>
      <c r="B70" t="s">
        <v>3697</v>
      </c>
    </row>
    <row r="71" spans="1:2">
      <c r="A71" t="s">
        <v>645</v>
      </c>
      <c r="B71"/>
    </row>
    <row r="72" spans="1:2">
      <c r="A72" t="s">
        <v>706</v>
      </c>
      <c r="B72" t="s">
        <v>3666</v>
      </c>
    </row>
    <row r="73" spans="1:2">
      <c r="A73" t="s">
        <v>707</v>
      </c>
      <c r="B73" t="s">
        <v>3684</v>
      </c>
    </row>
    <row r="74" spans="1:2">
      <c r="A74" t="s">
        <v>708</v>
      </c>
      <c r="B74" t="s">
        <v>194</v>
      </c>
    </row>
    <row r="75" spans="1:2">
      <c r="A75" t="s">
        <v>709</v>
      </c>
      <c r="B75" t="s">
        <v>3104</v>
      </c>
    </row>
    <row r="76" spans="1:2">
      <c r="A76" t="s">
        <v>710</v>
      </c>
      <c r="B76"/>
    </row>
    <row r="77" spans="1:2">
      <c r="A77" t="s">
        <v>646</v>
      </c>
      <c r="B77" t="s">
        <v>53</v>
      </c>
    </row>
    <row r="78" spans="1:2">
      <c r="A78" t="s">
        <v>3729</v>
      </c>
      <c r="B78" t="s">
        <v>185</v>
      </c>
    </row>
    <row r="79" spans="1:2">
      <c r="A79" t="s">
        <v>3730</v>
      </c>
      <c r="B79" t="s">
        <v>2324</v>
      </c>
    </row>
    <row r="80" spans="1:2">
      <c r="A80" t="s">
        <v>647</v>
      </c>
      <c r="B80"/>
    </row>
    <row r="81" spans="1:2">
      <c r="A81" t="s">
        <v>648</v>
      </c>
      <c r="B81"/>
    </row>
    <row r="82" spans="1:2">
      <c r="A82" t="s">
        <v>649</v>
      </c>
      <c r="B82" t="s">
        <v>187</v>
      </c>
    </row>
    <row r="83" spans="1:2">
      <c r="A83" t="s">
        <v>650</v>
      </c>
      <c r="B83" t="s">
        <v>3731</v>
      </c>
    </row>
    <row r="84" spans="1:2">
      <c r="A84" t="s">
        <v>3732</v>
      </c>
      <c r="B84" t="s">
        <v>2670</v>
      </c>
    </row>
    <row r="85" spans="1:2">
      <c r="A85" t="s">
        <v>711</v>
      </c>
      <c r="B85" t="s">
        <v>55</v>
      </c>
    </row>
    <row r="86" spans="1:2">
      <c r="A86" t="s">
        <v>3733</v>
      </c>
      <c r="B86" t="s">
        <v>193</v>
      </c>
    </row>
    <row r="87" spans="1:2">
      <c r="A87" t="s">
        <v>3734</v>
      </c>
      <c r="B87" t="s">
        <v>2330</v>
      </c>
    </row>
    <row r="88" spans="1:2">
      <c r="A88" t="s">
        <v>712</v>
      </c>
      <c r="B88"/>
    </row>
    <row r="89" spans="1:2">
      <c r="A89" t="s">
        <v>713</v>
      </c>
      <c r="B89"/>
    </row>
    <row r="90" spans="1:2">
      <c r="A90" t="s">
        <v>714</v>
      </c>
      <c r="B90" t="s">
        <v>194</v>
      </c>
    </row>
    <row r="91" spans="1:2">
      <c r="A91" t="s">
        <v>715</v>
      </c>
      <c r="B91" t="s">
        <v>3735</v>
      </c>
    </row>
    <row r="92" spans="1:2">
      <c r="A92" t="s">
        <v>3736</v>
      </c>
      <c r="B92" t="s">
        <v>2670</v>
      </c>
    </row>
    <row r="93" spans="1:2">
      <c r="A93" t="s">
        <v>716</v>
      </c>
      <c r="B93" t="s">
        <v>137</v>
      </c>
    </row>
    <row r="94" spans="1:2">
      <c r="A94" t="s">
        <v>3737</v>
      </c>
      <c r="B94" t="s">
        <v>608</v>
      </c>
    </row>
    <row r="95" spans="1:2">
      <c r="A95" t="s">
        <v>3738</v>
      </c>
      <c r="B95" t="s">
        <v>3739</v>
      </c>
    </row>
    <row r="96" spans="1:2">
      <c r="A96" t="s">
        <v>717</v>
      </c>
      <c r="B96"/>
    </row>
    <row r="97" spans="1:2">
      <c r="A97" t="s">
        <v>718</v>
      </c>
      <c r="B97"/>
    </row>
    <row r="98" spans="1:2">
      <c r="A98" t="s">
        <v>719</v>
      </c>
      <c r="B98" t="s">
        <v>3365</v>
      </c>
    </row>
    <row r="99" spans="1:2">
      <c r="A99" t="s">
        <v>720</v>
      </c>
      <c r="B99" t="s">
        <v>3740</v>
      </c>
    </row>
    <row r="100" spans="1:2">
      <c r="A100" t="s">
        <v>3741</v>
      </c>
      <c r="B100"/>
    </row>
    <row r="101" spans="1:2">
      <c r="A101" t="s">
        <v>721</v>
      </c>
      <c r="B101" t="s">
        <v>78</v>
      </c>
    </row>
    <row r="102" spans="1:2">
      <c r="A102" t="s">
        <v>3742</v>
      </c>
      <c r="B102" t="s">
        <v>294</v>
      </c>
    </row>
    <row r="103" spans="1:2">
      <c r="A103" t="s">
        <v>3743</v>
      </c>
      <c r="B103" t="s">
        <v>2442</v>
      </c>
    </row>
    <row r="104" spans="1:2">
      <c r="A104" t="s">
        <v>722</v>
      </c>
      <c r="B104"/>
    </row>
    <row r="105" spans="1:2">
      <c r="A105" t="s">
        <v>723</v>
      </c>
      <c r="B105"/>
    </row>
    <row r="106" spans="1:2">
      <c r="A106" t="s">
        <v>724</v>
      </c>
      <c r="B106" t="s">
        <v>295</v>
      </c>
    </row>
    <row r="107" spans="1:2">
      <c r="A107" t="s">
        <v>725</v>
      </c>
      <c r="B107" t="s">
        <v>3744</v>
      </c>
    </row>
    <row r="108" spans="1:2">
      <c r="A108" t="s">
        <v>3745</v>
      </c>
      <c r="B108"/>
    </row>
    <row r="109" spans="1:2">
      <c r="A109" t="s">
        <v>726</v>
      </c>
      <c r="B109" t="s">
        <v>91</v>
      </c>
    </row>
    <row r="110" spans="1:2">
      <c r="A110" t="s">
        <v>3746</v>
      </c>
      <c r="B110" t="s">
        <v>348</v>
      </c>
    </row>
    <row r="111" spans="1:2">
      <c r="A111" t="s">
        <v>3747</v>
      </c>
      <c r="B111" t="s">
        <v>3748</v>
      </c>
    </row>
    <row r="112" spans="1:2">
      <c r="A112" t="s">
        <v>727</v>
      </c>
      <c r="B112"/>
    </row>
    <row r="113" spans="1:2">
      <c r="A113" t="s">
        <v>728</v>
      </c>
      <c r="B113"/>
    </row>
    <row r="114" spans="1:2">
      <c r="A114" t="s">
        <v>729</v>
      </c>
      <c r="B114" t="s">
        <v>349</v>
      </c>
    </row>
    <row r="115" spans="1:2">
      <c r="A115" t="s">
        <v>730</v>
      </c>
      <c r="B115" t="s">
        <v>3749</v>
      </c>
    </row>
    <row r="116" spans="1:2">
      <c r="A116" t="s">
        <v>3750</v>
      </c>
      <c r="B116" t="s">
        <v>2670</v>
      </c>
    </row>
    <row r="117" spans="1:2">
      <c r="A117" t="s">
        <v>731</v>
      </c>
      <c r="B117" t="s">
        <v>536</v>
      </c>
    </row>
    <row r="118" spans="1:2">
      <c r="A118" t="s">
        <v>3751</v>
      </c>
      <c r="B118" t="s">
        <v>537</v>
      </c>
    </row>
    <row r="119" spans="1:2">
      <c r="A119" t="s">
        <v>3752</v>
      </c>
      <c r="B119" t="s">
        <v>3753</v>
      </c>
    </row>
    <row r="120" spans="1:2">
      <c r="A120" t="s">
        <v>732</v>
      </c>
      <c r="B120"/>
    </row>
    <row r="121" spans="1:2">
      <c r="A121" t="s">
        <v>733</v>
      </c>
      <c r="B121"/>
    </row>
    <row r="122" spans="1:2">
      <c r="A122" t="s">
        <v>734</v>
      </c>
      <c r="B122" t="s">
        <v>3343</v>
      </c>
    </row>
    <row r="123" spans="1:2">
      <c r="A123" t="s">
        <v>735</v>
      </c>
      <c r="B123" t="s">
        <v>3754</v>
      </c>
    </row>
    <row r="124" spans="1:2">
      <c r="A124" t="s">
        <v>3755</v>
      </c>
      <c r="B124"/>
    </row>
    <row r="125" spans="1:2">
      <c r="A125" t="s">
        <v>651</v>
      </c>
      <c r="B125" t="s">
        <v>1</v>
      </c>
    </row>
    <row r="126" spans="1:2">
      <c r="A126" t="s">
        <v>652</v>
      </c>
      <c r="B126" t="s">
        <v>2</v>
      </c>
    </row>
    <row r="127" spans="1:2">
      <c r="A127" t="s">
        <v>653</v>
      </c>
      <c r="B127" t="s">
        <v>163</v>
      </c>
    </row>
    <row r="128" spans="1:2">
      <c r="A128" t="s">
        <v>654</v>
      </c>
      <c r="B128"/>
    </row>
    <row r="129" spans="1:2">
      <c r="A129" t="s">
        <v>655</v>
      </c>
      <c r="B129"/>
    </row>
    <row r="130" spans="1:2">
      <c r="A130" t="s">
        <v>736</v>
      </c>
      <c r="B130" t="s">
        <v>1</v>
      </c>
    </row>
    <row r="131" spans="1:2">
      <c r="A131" t="s">
        <v>737</v>
      </c>
      <c r="B131" t="s">
        <v>2</v>
      </c>
    </row>
    <row r="132" spans="1:2">
      <c r="A132" t="s">
        <v>738</v>
      </c>
      <c r="B132" t="s">
        <v>163</v>
      </c>
    </row>
    <row r="133" spans="1:2">
      <c r="A133" t="s">
        <v>739</v>
      </c>
      <c r="B133"/>
    </row>
    <row r="134" spans="1:2">
      <c r="A134" t="s">
        <v>740</v>
      </c>
      <c r="B134"/>
    </row>
    <row r="135" spans="1:2">
      <c r="A135" t="s">
        <v>2293</v>
      </c>
      <c r="B135" t="s">
        <v>3775</v>
      </c>
    </row>
    <row r="136" spans="1:2">
      <c r="A136" t="s">
        <v>2669</v>
      </c>
      <c r="B136"/>
    </row>
    <row r="137" spans="1:2">
      <c r="A137" t="s">
        <v>2292</v>
      </c>
      <c r="B137" t="s">
        <v>2667</v>
      </c>
    </row>
    <row r="138" spans="1:2">
      <c r="A138" t="s">
        <v>2294</v>
      </c>
      <c r="B138"/>
    </row>
    <row r="139" spans="1:2">
      <c r="A139" t="s">
        <v>656</v>
      </c>
      <c r="B139" t="s">
        <v>3601</v>
      </c>
    </row>
    <row r="140" spans="1:2">
      <c r="A140" t="s">
        <v>657</v>
      </c>
      <c r="B140" t="s">
        <v>3529</v>
      </c>
    </row>
    <row r="141" spans="1:2">
      <c r="A141" t="s">
        <v>658</v>
      </c>
      <c r="B141" t="s">
        <v>3781</v>
      </c>
    </row>
    <row r="142" spans="1:2">
      <c r="A142" t="s">
        <v>3099</v>
      </c>
      <c r="B142" t="s">
        <v>3098</v>
      </c>
    </row>
    <row r="143" spans="1:2">
      <c r="A143" t="s">
        <v>2673</v>
      </c>
      <c r="B143" t="s">
        <v>3775</v>
      </c>
    </row>
    <row r="144" spans="1:2">
      <c r="A144" t="s">
        <v>2674</v>
      </c>
      <c r="B144"/>
    </row>
    <row r="145" spans="1:2">
      <c r="A145" t="s">
        <v>2675</v>
      </c>
      <c r="B145" t="s">
        <v>2667</v>
      </c>
    </row>
    <row r="146" spans="1:2">
      <c r="A146" t="s">
        <v>2676</v>
      </c>
      <c r="B146"/>
    </row>
    <row r="147" spans="1:2">
      <c r="A147" t="s">
        <v>667</v>
      </c>
      <c r="B147" t="s">
        <v>3602</v>
      </c>
    </row>
    <row r="148" spans="1:2">
      <c r="A148" t="s">
        <v>668</v>
      </c>
      <c r="B148" t="s">
        <v>3531</v>
      </c>
    </row>
    <row r="149" spans="1:2">
      <c r="A149" t="s">
        <v>669</v>
      </c>
      <c r="B149" t="s">
        <v>3781</v>
      </c>
    </row>
    <row r="150" spans="1:2">
      <c r="A150" t="s">
        <v>3100</v>
      </c>
      <c r="B150" t="s">
        <v>3096</v>
      </c>
    </row>
    <row r="151" spans="1:2">
      <c r="A151" t="s">
        <v>2677</v>
      </c>
      <c r="B151" t="s">
        <v>3605</v>
      </c>
    </row>
    <row r="152" spans="1:2">
      <c r="A152" t="s">
        <v>2678</v>
      </c>
      <c r="B152"/>
    </row>
    <row r="153" spans="1:2">
      <c r="A153" t="s">
        <v>2679</v>
      </c>
      <c r="B153" t="s">
        <v>2667</v>
      </c>
    </row>
    <row r="154" spans="1:2">
      <c r="A154" t="s">
        <v>2680</v>
      </c>
      <c r="B154" s="9">
        <v>43136</v>
      </c>
    </row>
    <row r="155" spans="1:2">
      <c r="A155" t="s">
        <v>1925</v>
      </c>
      <c r="B155" t="s">
        <v>3103</v>
      </c>
    </row>
    <row r="156" spans="1:2">
      <c r="A156" t="s">
        <v>1926</v>
      </c>
      <c r="B156" t="s">
        <v>3603</v>
      </c>
    </row>
    <row r="157" spans="1:2">
      <c r="A157" t="s">
        <v>1927</v>
      </c>
      <c r="B157" t="s">
        <v>3622</v>
      </c>
    </row>
    <row r="158" spans="1:2">
      <c r="A158" t="s">
        <v>3101</v>
      </c>
      <c r="B158" t="s">
        <v>3098</v>
      </c>
    </row>
    <row r="159" spans="1:2">
      <c r="A159" t="s">
        <v>661</v>
      </c>
      <c r="B159" t="s">
        <v>55</v>
      </c>
    </row>
    <row r="160" spans="1:2">
      <c r="A160" t="s">
        <v>662</v>
      </c>
      <c r="B160" t="s">
        <v>193</v>
      </c>
    </row>
    <row r="161" spans="1:2">
      <c r="A161" t="s">
        <v>663</v>
      </c>
      <c r="B161" t="s">
        <v>2330</v>
      </c>
    </row>
    <row r="162" spans="1:2">
      <c r="A162" t="s">
        <v>664</v>
      </c>
      <c r="B162" t="s">
        <v>423</v>
      </c>
    </row>
    <row r="163" spans="1:2">
      <c r="A163" t="s">
        <v>665</v>
      </c>
      <c r="B163" t="s">
        <v>194</v>
      </c>
    </row>
    <row r="164" spans="1:2">
      <c r="A164" t="s">
        <v>666</v>
      </c>
      <c r="B164" t="s">
        <v>195</v>
      </c>
    </row>
    <row r="165" spans="1:2">
      <c r="A165" t="s">
        <v>2319</v>
      </c>
      <c r="B165" t="s">
        <v>2670</v>
      </c>
    </row>
    <row r="166" spans="1:2">
      <c r="A166" t="s">
        <v>2320</v>
      </c>
      <c r="B166">
        <v>1001003</v>
      </c>
    </row>
    <row r="167" spans="1:2">
      <c r="A167" t="s">
        <v>763</v>
      </c>
      <c r="B167" t="s">
        <v>54</v>
      </c>
    </row>
    <row r="168" spans="1:2">
      <c r="A168" t="s">
        <v>764</v>
      </c>
      <c r="B168" t="s">
        <v>189</v>
      </c>
    </row>
    <row r="169" spans="1:2">
      <c r="A169" t="s">
        <v>765</v>
      </c>
      <c r="B169" t="s">
        <v>2327</v>
      </c>
    </row>
    <row r="170" spans="1:2">
      <c r="A170" t="s">
        <v>766</v>
      </c>
      <c r="B170" t="s">
        <v>422</v>
      </c>
    </row>
    <row r="171" spans="1:2">
      <c r="A171" t="s">
        <v>767</v>
      </c>
      <c r="B171" t="s">
        <v>191</v>
      </c>
    </row>
    <row r="172" spans="1:2">
      <c r="A172" t="s">
        <v>768</v>
      </c>
      <c r="B172" t="s">
        <v>192</v>
      </c>
    </row>
    <row r="173" spans="1:2">
      <c r="A173" t="s">
        <v>2322</v>
      </c>
      <c r="B173"/>
    </row>
    <row r="174" spans="1:2">
      <c r="A174" t="s">
        <v>2323</v>
      </c>
      <c r="B174">
        <v>1001001</v>
      </c>
    </row>
    <row r="175" spans="1:2">
      <c r="A175" t="s">
        <v>769</v>
      </c>
      <c r="B175" t="s">
        <v>53</v>
      </c>
    </row>
    <row r="176" spans="1:2">
      <c r="A176" t="s">
        <v>770</v>
      </c>
      <c r="B176" t="s">
        <v>185</v>
      </c>
    </row>
    <row r="177" spans="1:2">
      <c r="A177" t="s">
        <v>771</v>
      </c>
      <c r="B177" t="s">
        <v>2324</v>
      </c>
    </row>
    <row r="178" spans="1:2">
      <c r="A178" t="s">
        <v>772</v>
      </c>
      <c r="B178" t="s">
        <v>421</v>
      </c>
    </row>
    <row r="179" spans="1:2">
      <c r="A179" t="s">
        <v>773</v>
      </c>
      <c r="B179" t="s">
        <v>187</v>
      </c>
    </row>
    <row r="180" spans="1:2">
      <c r="A180" t="s">
        <v>774</v>
      </c>
      <c r="B180" t="s">
        <v>188</v>
      </c>
    </row>
    <row r="181" spans="1:2">
      <c r="A181" t="s">
        <v>2325</v>
      </c>
      <c r="B181"/>
    </row>
    <row r="182" spans="1:2">
      <c r="A182" t="s">
        <v>2326</v>
      </c>
      <c r="B182">
        <v>1001002</v>
      </c>
    </row>
    <row r="183" spans="1:2">
      <c r="A183" t="s">
        <v>775</v>
      </c>
      <c r="B183" t="s">
        <v>57</v>
      </c>
    </row>
    <row r="184" spans="1:2">
      <c r="A184" t="s">
        <v>776</v>
      </c>
      <c r="B184" t="s">
        <v>201</v>
      </c>
    </row>
    <row r="185" spans="1:2">
      <c r="A185" t="s">
        <v>777</v>
      </c>
      <c r="B185" t="s">
        <v>2336</v>
      </c>
    </row>
    <row r="186" spans="1:2">
      <c r="A186" t="s">
        <v>778</v>
      </c>
      <c r="B186" t="s">
        <v>425</v>
      </c>
    </row>
    <row r="187" spans="1:2">
      <c r="A187" t="s">
        <v>779</v>
      </c>
      <c r="B187" t="s">
        <v>202</v>
      </c>
    </row>
    <row r="188" spans="1:2">
      <c r="A188" t="s">
        <v>780</v>
      </c>
      <c r="B188" t="s">
        <v>203</v>
      </c>
    </row>
    <row r="189" spans="1:2">
      <c r="A189" t="s">
        <v>2328</v>
      </c>
      <c r="B189"/>
    </row>
    <row r="190" spans="1:2">
      <c r="A190" t="s">
        <v>2329</v>
      </c>
      <c r="B190">
        <v>1001004</v>
      </c>
    </row>
    <row r="191" spans="1:2">
      <c r="A191" t="s">
        <v>781</v>
      </c>
      <c r="B191" t="s">
        <v>62</v>
      </c>
    </row>
    <row r="192" spans="1:2">
      <c r="A192" t="s">
        <v>782</v>
      </c>
      <c r="B192" t="s">
        <v>223</v>
      </c>
    </row>
    <row r="193" spans="1:2">
      <c r="A193" t="s">
        <v>783</v>
      </c>
      <c r="B193" t="s">
        <v>2351</v>
      </c>
    </row>
    <row r="194" spans="1:2">
      <c r="A194" t="s">
        <v>784</v>
      </c>
      <c r="B194" t="s">
        <v>430</v>
      </c>
    </row>
    <row r="195" spans="1:2">
      <c r="A195" t="s">
        <v>785</v>
      </c>
      <c r="B195" t="s">
        <v>3541</v>
      </c>
    </row>
    <row r="196" spans="1:2">
      <c r="A196" t="s">
        <v>786</v>
      </c>
      <c r="B196" t="s">
        <v>226</v>
      </c>
    </row>
    <row r="197" spans="1:2">
      <c r="A197" t="s">
        <v>2331</v>
      </c>
      <c r="B197"/>
    </row>
    <row r="198" spans="1:2">
      <c r="A198" t="s">
        <v>2332</v>
      </c>
      <c r="B198">
        <v>1001005</v>
      </c>
    </row>
    <row r="199" spans="1:2">
      <c r="A199" t="s">
        <v>787</v>
      </c>
      <c r="B199" t="s">
        <v>64</v>
      </c>
    </row>
    <row r="200" spans="1:2">
      <c r="A200" t="s">
        <v>788</v>
      </c>
      <c r="B200" t="s">
        <v>231</v>
      </c>
    </row>
    <row r="201" spans="1:2">
      <c r="A201" t="s">
        <v>789</v>
      </c>
      <c r="B201" t="s">
        <v>2356</v>
      </c>
    </row>
    <row r="202" spans="1:2">
      <c r="A202" t="s">
        <v>790</v>
      </c>
      <c r="B202" t="s">
        <v>432</v>
      </c>
    </row>
    <row r="203" spans="1:2">
      <c r="A203" t="s">
        <v>791</v>
      </c>
      <c r="B203" t="s">
        <v>3533</v>
      </c>
    </row>
    <row r="204" spans="1:2">
      <c r="A204" t="s">
        <v>792</v>
      </c>
      <c r="B204" t="s">
        <v>234</v>
      </c>
    </row>
    <row r="205" spans="1:2">
      <c r="A205" t="s">
        <v>2334</v>
      </c>
      <c r="B205"/>
    </row>
    <row r="206" spans="1:2">
      <c r="A206" t="s">
        <v>2335</v>
      </c>
      <c r="B206">
        <v>1002011</v>
      </c>
    </row>
    <row r="207" spans="1:2">
      <c r="A207" t="s">
        <v>793</v>
      </c>
      <c r="B207" t="s">
        <v>65</v>
      </c>
    </row>
    <row r="208" spans="1:2">
      <c r="A208" t="s">
        <v>794</v>
      </c>
      <c r="B208" t="s">
        <v>236</v>
      </c>
    </row>
    <row r="209" spans="1:2">
      <c r="A209" t="s">
        <v>795</v>
      </c>
      <c r="B209" t="s">
        <v>2359</v>
      </c>
    </row>
    <row r="210" spans="1:2">
      <c r="A210" t="s">
        <v>796</v>
      </c>
      <c r="B210" t="s">
        <v>433</v>
      </c>
    </row>
    <row r="211" spans="1:2">
      <c r="A211" t="s">
        <v>797</v>
      </c>
      <c r="B211" t="s">
        <v>238</v>
      </c>
    </row>
    <row r="212" spans="1:2">
      <c r="A212" t="s">
        <v>798</v>
      </c>
      <c r="B212" t="s">
        <v>239</v>
      </c>
    </row>
    <row r="213" spans="1:2">
      <c r="A213" t="s">
        <v>2337</v>
      </c>
      <c r="B213"/>
    </row>
    <row r="214" spans="1:2">
      <c r="A214" t="s">
        <v>2338</v>
      </c>
      <c r="B214">
        <v>1002012</v>
      </c>
    </row>
    <row r="215" spans="1:2">
      <c r="A215" t="s">
        <v>799</v>
      </c>
      <c r="B215" t="s">
        <v>61</v>
      </c>
    </row>
    <row r="216" spans="1:2">
      <c r="A216" t="s">
        <v>800</v>
      </c>
      <c r="B216" t="s">
        <v>218</v>
      </c>
    </row>
    <row r="217" spans="1:2">
      <c r="A217" t="s">
        <v>801</v>
      </c>
      <c r="B217" t="s">
        <v>2348</v>
      </c>
    </row>
    <row r="218" spans="1:2">
      <c r="A218" t="s">
        <v>802</v>
      </c>
      <c r="B218" t="s">
        <v>429</v>
      </c>
    </row>
    <row r="219" spans="1:2">
      <c r="A219" t="s">
        <v>803</v>
      </c>
      <c r="B219" t="s">
        <v>220</v>
      </c>
    </row>
    <row r="220" spans="1:2">
      <c r="A220" t="s">
        <v>804</v>
      </c>
      <c r="B220" t="s">
        <v>221</v>
      </c>
    </row>
    <row r="221" spans="1:2">
      <c r="A221" t="s">
        <v>2340</v>
      </c>
      <c r="B221"/>
    </row>
    <row r="222" spans="1:2">
      <c r="A222" t="s">
        <v>2341</v>
      </c>
      <c r="B222">
        <v>1002016</v>
      </c>
    </row>
    <row r="223" spans="1:2">
      <c r="A223" t="s">
        <v>805</v>
      </c>
      <c r="B223" t="s">
        <v>58</v>
      </c>
    </row>
    <row r="224" spans="1:2">
      <c r="A224" t="s">
        <v>806</v>
      </c>
      <c r="B224" t="s">
        <v>204</v>
      </c>
    </row>
    <row r="225" spans="1:2">
      <c r="A225" t="s">
        <v>807</v>
      </c>
      <c r="B225" t="s">
        <v>2339</v>
      </c>
    </row>
    <row r="226" spans="1:2">
      <c r="A226" t="s">
        <v>808</v>
      </c>
      <c r="B226" t="s">
        <v>426</v>
      </c>
    </row>
    <row r="227" spans="1:2">
      <c r="A227" t="s">
        <v>809</v>
      </c>
      <c r="B227" t="s">
        <v>206</v>
      </c>
    </row>
    <row r="228" spans="1:2">
      <c r="A228" t="s">
        <v>810</v>
      </c>
      <c r="B228" t="s">
        <v>207</v>
      </c>
    </row>
    <row r="229" spans="1:2">
      <c r="A229" t="s">
        <v>2343</v>
      </c>
      <c r="B229"/>
    </row>
    <row r="230" spans="1:2">
      <c r="A230" t="s">
        <v>2344</v>
      </c>
      <c r="B230">
        <v>1002017</v>
      </c>
    </row>
    <row r="231" spans="1:2">
      <c r="A231" t="s">
        <v>811</v>
      </c>
      <c r="B231" t="s">
        <v>59</v>
      </c>
    </row>
    <row r="232" spans="1:2">
      <c r="A232" t="s">
        <v>812</v>
      </c>
      <c r="B232" t="s">
        <v>209</v>
      </c>
    </row>
    <row r="233" spans="1:2">
      <c r="A233" t="s">
        <v>813</v>
      </c>
      <c r="B233" t="s">
        <v>2342</v>
      </c>
    </row>
    <row r="234" spans="1:2">
      <c r="A234" t="s">
        <v>814</v>
      </c>
      <c r="B234" t="s">
        <v>427</v>
      </c>
    </row>
    <row r="235" spans="1:2">
      <c r="A235" t="s">
        <v>815</v>
      </c>
      <c r="B235" t="s">
        <v>211</v>
      </c>
    </row>
    <row r="236" spans="1:2">
      <c r="A236" t="s">
        <v>816</v>
      </c>
      <c r="B236" t="s">
        <v>212</v>
      </c>
    </row>
    <row r="237" spans="1:2">
      <c r="A237" t="s">
        <v>2346</v>
      </c>
      <c r="B237"/>
    </row>
    <row r="238" spans="1:2">
      <c r="A238" t="s">
        <v>2347</v>
      </c>
      <c r="B238">
        <v>1003022</v>
      </c>
    </row>
    <row r="239" spans="1:2">
      <c r="A239" t="s">
        <v>817</v>
      </c>
      <c r="B239" t="s">
        <v>52</v>
      </c>
    </row>
    <row r="240" spans="1:2">
      <c r="A240" t="s">
        <v>818</v>
      </c>
      <c r="B240" t="s">
        <v>180</v>
      </c>
    </row>
    <row r="241" spans="1:2">
      <c r="A241" t="s">
        <v>819</v>
      </c>
      <c r="B241" t="s">
        <v>2321</v>
      </c>
    </row>
    <row r="242" spans="1:2">
      <c r="A242" t="s">
        <v>820</v>
      </c>
      <c r="B242" t="s">
        <v>420</v>
      </c>
    </row>
    <row r="243" spans="1:2">
      <c r="A243" t="s">
        <v>821</v>
      </c>
      <c r="B243" t="s">
        <v>182</v>
      </c>
    </row>
    <row r="244" spans="1:2">
      <c r="A244" t="s">
        <v>822</v>
      </c>
      <c r="B244" t="s">
        <v>183</v>
      </c>
    </row>
    <row r="245" spans="1:2">
      <c r="A245" t="s">
        <v>2349</v>
      </c>
      <c r="B245"/>
    </row>
    <row r="246" spans="1:2">
      <c r="A246" t="s">
        <v>2350</v>
      </c>
      <c r="B246">
        <v>1003023</v>
      </c>
    </row>
    <row r="247" spans="1:2">
      <c r="A247" t="s">
        <v>823</v>
      </c>
      <c r="B247" t="s">
        <v>56</v>
      </c>
    </row>
    <row r="248" spans="1:2">
      <c r="A248" t="s">
        <v>824</v>
      </c>
      <c r="B248" t="s">
        <v>197</v>
      </c>
    </row>
    <row r="249" spans="1:2">
      <c r="A249" t="s">
        <v>825</v>
      </c>
      <c r="B249" t="s">
        <v>2333</v>
      </c>
    </row>
    <row r="250" spans="1:2">
      <c r="A250" t="s">
        <v>826</v>
      </c>
      <c r="B250" t="s">
        <v>424</v>
      </c>
    </row>
    <row r="251" spans="1:2">
      <c r="A251" t="s">
        <v>827</v>
      </c>
      <c r="B251" t="s">
        <v>199</v>
      </c>
    </row>
    <row r="252" spans="1:2">
      <c r="A252" t="s">
        <v>828</v>
      </c>
      <c r="B252" t="s">
        <v>200</v>
      </c>
    </row>
    <row r="253" spans="1:2">
      <c r="A253" t="s">
        <v>2352</v>
      </c>
      <c r="B253"/>
    </row>
    <row r="254" spans="1:2">
      <c r="A254" t="s">
        <v>2353</v>
      </c>
      <c r="B254">
        <v>1004032</v>
      </c>
    </row>
    <row r="255" spans="1:2">
      <c r="A255" t="s">
        <v>829</v>
      </c>
      <c r="B255" t="s">
        <v>51</v>
      </c>
    </row>
    <row r="256" spans="1:2">
      <c r="A256" t="s">
        <v>830</v>
      </c>
      <c r="B256" t="s">
        <v>175</v>
      </c>
    </row>
    <row r="257" spans="1:2">
      <c r="A257" t="s">
        <v>831</v>
      </c>
      <c r="B257" t="s">
        <v>2318</v>
      </c>
    </row>
    <row r="258" spans="1:2">
      <c r="A258" t="s">
        <v>832</v>
      </c>
      <c r="B258" t="s">
        <v>419</v>
      </c>
    </row>
    <row r="259" spans="1:2">
      <c r="A259" t="s">
        <v>833</v>
      </c>
      <c r="B259" t="s">
        <v>177</v>
      </c>
    </row>
    <row r="260" spans="1:2">
      <c r="A260" t="s">
        <v>834</v>
      </c>
      <c r="B260" t="s">
        <v>178</v>
      </c>
    </row>
    <row r="261" spans="1:2">
      <c r="A261" t="s">
        <v>2354</v>
      </c>
      <c r="B261"/>
    </row>
    <row r="262" spans="1:2">
      <c r="A262" t="s">
        <v>2355</v>
      </c>
      <c r="B262">
        <v>1004033</v>
      </c>
    </row>
    <row r="263" spans="1:2">
      <c r="A263" t="s">
        <v>835</v>
      </c>
      <c r="B263" t="s">
        <v>66</v>
      </c>
    </row>
    <row r="264" spans="1:2">
      <c r="A264" t="s">
        <v>836</v>
      </c>
      <c r="B264" t="s">
        <v>240</v>
      </c>
    </row>
    <row r="265" spans="1:2">
      <c r="A265" t="s">
        <v>837</v>
      </c>
      <c r="B265" t="s">
        <v>2360</v>
      </c>
    </row>
    <row r="266" spans="1:2">
      <c r="A266" t="s">
        <v>838</v>
      </c>
      <c r="B266" t="s">
        <v>434</v>
      </c>
    </row>
    <row r="267" spans="1:2">
      <c r="A267" t="s">
        <v>839</v>
      </c>
      <c r="B267" t="s">
        <v>242</v>
      </c>
    </row>
    <row r="268" spans="1:2">
      <c r="A268" t="s">
        <v>840</v>
      </c>
      <c r="B268" t="s">
        <v>243</v>
      </c>
    </row>
    <row r="269" spans="1:2">
      <c r="A269" t="s">
        <v>2357</v>
      </c>
      <c r="B269"/>
    </row>
    <row r="270" spans="1:2">
      <c r="A270" t="s">
        <v>2358</v>
      </c>
      <c r="B270">
        <v>1005041</v>
      </c>
    </row>
    <row r="271" spans="1:2">
      <c r="A271" t="s">
        <v>672</v>
      </c>
      <c r="B271" t="s">
        <v>55</v>
      </c>
    </row>
    <row r="272" spans="1:2">
      <c r="A272" t="s">
        <v>673</v>
      </c>
      <c r="B272" t="s">
        <v>193</v>
      </c>
    </row>
    <row r="273" spans="1:2">
      <c r="A273" t="s">
        <v>674</v>
      </c>
      <c r="B273" t="s">
        <v>2330</v>
      </c>
    </row>
    <row r="274" spans="1:2">
      <c r="A274" t="s">
        <v>675</v>
      </c>
      <c r="B274" t="s">
        <v>423</v>
      </c>
    </row>
    <row r="275" spans="1:2">
      <c r="A275" t="s">
        <v>676</v>
      </c>
      <c r="B275" t="s">
        <v>194</v>
      </c>
    </row>
    <row r="276" spans="1:2">
      <c r="A276" t="s">
        <v>677</v>
      </c>
      <c r="B276" t="s">
        <v>195</v>
      </c>
    </row>
    <row r="277" spans="1:2">
      <c r="A277" t="s">
        <v>2385</v>
      </c>
      <c r="B277" t="s">
        <v>2670</v>
      </c>
    </row>
    <row r="278" spans="1:2">
      <c r="A278" t="s">
        <v>2386</v>
      </c>
      <c r="B278">
        <v>1001003</v>
      </c>
    </row>
    <row r="279" spans="1:2">
      <c r="A279" t="s">
        <v>863</v>
      </c>
      <c r="B279" t="s">
        <v>54</v>
      </c>
    </row>
    <row r="280" spans="1:2">
      <c r="A280" t="s">
        <v>864</v>
      </c>
      <c r="B280" t="s">
        <v>189</v>
      </c>
    </row>
    <row r="281" spans="1:2">
      <c r="A281" t="s">
        <v>865</v>
      </c>
      <c r="B281" t="s">
        <v>2327</v>
      </c>
    </row>
    <row r="282" spans="1:2">
      <c r="A282" t="s">
        <v>866</v>
      </c>
      <c r="B282" t="s">
        <v>422</v>
      </c>
    </row>
    <row r="283" spans="1:2">
      <c r="A283" t="s">
        <v>867</v>
      </c>
      <c r="B283" t="s">
        <v>191</v>
      </c>
    </row>
    <row r="284" spans="1:2">
      <c r="A284" t="s">
        <v>868</v>
      </c>
      <c r="B284" t="s">
        <v>192</v>
      </c>
    </row>
    <row r="285" spans="1:2">
      <c r="A285" t="s">
        <v>2388</v>
      </c>
      <c r="B285"/>
    </row>
    <row r="286" spans="1:2">
      <c r="A286" t="s">
        <v>2389</v>
      </c>
      <c r="B286">
        <v>1001001</v>
      </c>
    </row>
    <row r="287" spans="1:2">
      <c r="A287" t="s">
        <v>869</v>
      </c>
      <c r="B287" t="s">
        <v>53</v>
      </c>
    </row>
    <row r="288" spans="1:2">
      <c r="A288" t="s">
        <v>870</v>
      </c>
      <c r="B288" t="s">
        <v>185</v>
      </c>
    </row>
    <row r="289" spans="1:2">
      <c r="A289" t="s">
        <v>871</v>
      </c>
      <c r="B289" t="s">
        <v>2324</v>
      </c>
    </row>
    <row r="290" spans="1:2">
      <c r="A290" t="s">
        <v>872</v>
      </c>
      <c r="B290" t="s">
        <v>421</v>
      </c>
    </row>
    <row r="291" spans="1:2">
      <c r="A291" t="s">
        <v>873</v>
      </c>
      <c r="B291" t="s">
        <v>187</v>
      </c>
    </row>
    <row r="292" spans="1:2">
      <c r="A292" t="s">
        <v>874</v>
      </c>
      <c r="B292" t="s">
        <v>188</v>
      </c>
    </row>
    <row r="293" spans="1:2">
      <c r="A293" t="s">
        <v>2390</v>
      </c>
      <c r="B293"/>
    </row>
    <row r="294" spans="1:2">
      <c r="A294" t="s">
        <v>2391</v>
      </c>
      <c r="B294">
        <v>1001002</v>
      </c>
    </row>
    <row r="295" spans="1:2">
      <c r="A295" t="s">
        <v>875</v>
      </c>
      <c r="B295" t="s">
        <v>62</v>
      </c>
    </row>
    <row r="296" spans="1:2">
      <c r="A296" t="s">
        <v>876</v>
      </c>
      <c r="B296" t="s">
        <v>223</v>
      </c>
    </row>
    <row r="297" spans="1:2">
      <c r="A297" t="s">
        <v>877</v>
      </c>
      <c r="B297" t="s">
        <v>2351</v>
      </c>
    </row>
    <row r="298" spans="1:2">
      <c r="A298" t="s">
        <v>878</v>
      </c>
      <c r="B298" t="s">
        <v>430</v>
      </c>
    </row>
    <row r="299" spans="1:2">
      <c r="A299" t="s">
        <v>879</v>
      </c>
      <c r="B299" t="s">
        <v>3546</v>
      </c>
    </row>
    <row r="300" spans="1:2">
      <c r="A300" t="s">
        <v>880</v>
      </c>
      <c r="B300" t="s">
        <v>226</v>
      </c>
    </row>
    <row r="301" spans="1:2">
      <c r="A301" t="s">
        <v>2393</v>
      </c>
      <c r="B301"/>
    </row>
    <row r="302" spans="1:2">
      <c r="A302" t="s">
        <v>2394</v>
      </c>
      <c r="B302">
        <v>1001005</v>
      </c>
    </row>
    <row r="303" spans="1:2">
      <c r="A303" t="s">
        <v>881</v>
      </c>
      <c r="B303" t="s">
        <v>72</v>
      </c>
    </row>
    <row r="304" spans="1:2">
      <c r="A304" t="s">
        <v>882</v>
      </c>
      <c r="B304" t="s">
        <v>269</v>
      </c>
    </row>
    <row r="305" spans="1:2">
      <c r="A305" t="s">
        <v>883</v>
      </c>
      <c r="B305" t="s">
        <v>2420</v>
      </c>
    </row>
    <row r="306" spans="1:2">
      <c r="A306" t="s">
        <v>884</v>
      </c>
      <c r="B306" t="s">
        <v>458</v>
      </c>
    </row>
    <row r="307" spans="1:2">
      <c r="A307" t="s">
        <v>885</v>
      </c>
      <c r="B307" t="s">
        <v>271</v>
      </c>
    </row>
    <row r="308" spans="1:2">
      <c r="A308" t="s">
        <v>886</v>
      </c>
      <c r="B308" t="s">
        <v>272</v>
      </c>
    </row>
    <row r="309" spans="1:2">
      <c r="A309" t="s">
        <v>2396</v>
      </c>
      <c r="B309"/>
    </row>
    <row r="310" spans="1:2">
      <c r="A310" t="s">
        <v>2397</v>
      </c>
      <c r="B310">
        <v>1001006</v>
      </c>
    </row>
    <row r="311" spans="1:2">
      <c r="A311" t="s">
        <v>887</v>
      </c>
      <c r="B311" t="s">
        <v>64</v>
      </c>
    </row>
    <row r="312" spans="1:2">
      <c r="A312" t="s">
        <v>888</v>
      </c>
      <c r="B312" t="s">
        <v>231</v>
      </c>
    </row>
    <row r="313" spans="1:2">
      <c r="A313" t="s">
        <v>889</v>
      </c>
      <c r="B313" t="s">
        <v>2356</v>
      </c>
    </row>
    <row r="314" spans="1:2">
      <c r="A314" t="s">
        <v>890</v>
      </c>
      <c r="B314" t="s">
        <v>432</v>
      </c>
    </row>
    <row r="315" spans="1:2">
      <c r="A315" t="s">
        <v>891</v>
      </c>
      <c r="B315" t="s">
        <v>3538</v>
      </c>
    </row>
    <row r="316" spans="1:2">
      <c r="A316" t="s">
        <v>892</v>
      </c>
      <c r="B316" t="s">
        <v>234</v>
      </c>
    </row>
    <row r="317" spans="1:2">
      <c r="A317" t="s">
        <v>2399</v>
      </c>
      <c r="B317"/>
    </row>
    <row r="318" spans="1:2">
      <c r="A318" t="s">
        <v>2400</v>
      </c>
      <c r="B318">
        <v>1002011</v>
      </c>
    </row>
    <row r="319" spans="1:2">
      <c r="A319" t="s">
        <v>893</v>
      </c>
      <c r="B319" t="s">
        <v>65</v>
      </c>
    </row>
    <row r="320" spans="1:2">
      <c r="A320" t="s">
        <v>894</v>
      </c>
      <c r="B320" t="s">
        <v>236</v>
      </c>
    </row>
    <row r="321" spans="1:2">
      <c r="A321" t="s">
        <v>895</v>
      </c>
      <c r="B321" t="s">
        <v>2359</v>
      </c>
    </row>
    <row r="322" spans="1:2">
      <c r="A322" t="s">
        <v>896</v>
      </c>
      <c r="B322" t="s">
        <v>433</v>
      </c>
    </row>
    <row r="323" spans="1:2">
      <c r="A323" t="s">
        <v>897</v>
      </c>
      <c r="B323" t="s">
        <v>238</v>
      </c>
    </row>
    <row r="324" spans="1:2">
      <c r="A324" t="s">
        <v>898</v>
      </c>
      <c r="B324" t="s">
        <v>239</v>
      </c>
    </row>
    <row r="325" spans="1:2">
      <c r="A325" t="s">
        <v>2401</v>
      </c>
      <c r="B325"/>
    </row>
    <row r="326" spans="1:2">
      <c r="A326" t="s">
        <v>2402</v>
      </c>
      <c r="B326">
        <v>1002012</v>
      </c>
    </row>
    <row r="327" spans="1:2">
      <c r="A327" t="s">
        <v>899</v>
      </c>
      <c r="B327" t="s">
        <v>73</v>
      </c>
    </row>
    <row r="328" spans="1:2">
      <c r="A328" t="s">
        <v>900</v>
      </c>
      <c r="B328" t="s">
        <v>273</v>
      </c>
    </row>
    <row r="329" spans="1:2">
      <c r="A329" t="s">
        <v>901</v>
      </c>
      <c r="B329" t="s">
        <v>2423</v>
      </c>
    </row>
    <row r="330" spans="1:2">
      <c r="A330" t="s">
        <v>902</v>
      </c>
      <c r="B330" t="s">
        <v>459</v>
      </c>
    </row>
    <row r="331" spans="1:2">
      <c r="A331" t="s">
        <v>903</v>
      </c>
      <c r="B331" t="s">
        <v>3597</v>
      </c>
    </row>
    <row r="332" spans="1:2">
      <c r="A332" t="s">
        <v>904</v>
      </c>
      <c r="B332" t="s">
        <v>276</v>
      </c>
    </row>
    <row r="333" spans="1:2">
      <c r="A333" t="s">
        <v>2403</v>
      </c>
      <c r="B333"/>
    </row>
    <row r="334" spans="1:2">
      <c r="A334" t="s">
        <v>2404</v>
      </c>
      <c r="B334">
        <v>1002013</v>
      </c>
    </row>
    <row r="335" spans="1:2">
      <c r="A335" t="s">
        <v>905</v>
      </c>
      <c r="B335" t="s">
        <v>68</v>
      </c>
    </row>
    <row r="336" spans="1:2">
      <c r="A336" t="s">
        <v>906</v>
      </c>
      <c r="B336" t="s">
        <v>249</v>
      </c>
    </row>
    <row r="337" spans="1:2">
      <c r="A337" t="s">
        <v>907</v>
      </c>
      <c r="B337" t="s">
        <v>2392</v>
      </c>
    </row>
    <row r="338" spans="1:2">
      <c r="A338" t="s">
        <v>908</v>
      </c>
      <c r="B338" t="s">
        <v>454</v>
      </c>
    </row>
    <row r="339" spans="1:2">
      <c r="A339" t="s">
        <v>909</v>
      </c>
      <c r="B339" t="s">
        <v>251</v>
      </c>
    </row>
    <row r="340" spans="1:2">
      <c r="A340" t="s">
        <v>910</v>
      </c>
      <c r="B340" t="s">
        <v>252</v>
      </c>
    </row>
    <row r="341" spans="1:2">
      <c r="A341" t="s">
        <v>2405</v>
      </c>
      <c r="B341"/>
    </row>
    <row r="342" spans="1:2">
      <c r="A342" t="s">
        <v>2406</v>
      </c>
      <c r="B342">
        <v>1002014</v>
      </c>
    </row>
    <row r="343" spans="1:2">
      <c r="A343" t="s">
        <v>911</v>
      </c>
      <c r="B343" t="s">
        <v>60</v>
      </c>
    </row>
    <row r="344" spans="1:2">
      <c r="A344" t="s">
        <v>912</v>
      </c>
      <c r="B344" t="s">
        <v>214</v>
      </c>
    </row>
    <row r="345" spans="1:2">
      <c r="A345" t="s">
        <v>913</v>
      </c>
      <c r="B345" t="s">
        <v>2345</v>
      </c>
    </row>
    <row r="346" spans="1:2">
      <c r="A346" t="s">
        <v>914</v>
      </c>
      <c r="B346" t="s">
        <v>428</v>
      </c>
    </row>
    <row r="347" spans="1:2">
      <c r="A347" t="s">
        <v>915</v>
      </c>
      <c r="B347" t="s">
        <v>3536</v>
      </c>
    </row>
    <row r="348" spans="1:2">
      <c r="A348" t="s">
        <v>916</v>
      </c>
      <c r="B348" t="s">
        <v>216</v>
      </c>
    </row>
    <row r="349" spans="1:2">
      <c r="A349" t="s">
        <v>2407</v>
      </c>
      <c r="B349"/>
    </row>
    <row r="350" spans="1:2">
      <c r="A350" t="s">
        <v>2408</v>
      </c>
      <c r="B350">
        <v>1002015</v>
      </c>
    </row>
    <row r="351" spans="1:2">
      <c r="A351" t="s">
        <v>917</v>
      </c>
      <c r="B351" t="s">
        <v>61</v>
      </c>
    </row>
    <row r="352" spans="1:2">
      <c r="A352" t="s">
        <v>918</v>
      </c>
      <c r="B352" t="s">
        <v>218</v>
      </c>
    </row>
    <row r="353" spans="1:2">
      <c r="A353" t="s">
        <v>919</v>
      </c>
      <c r="B353" t="s">
        <v>2348</v>
      </c>
    </row>
    <row r="354" spans="1:2">
      <c r="A354" t="s">
        <v>920</v>
      </c>
      <c r="B354" t="s">
        <v>429</v>
      </c>
    </row>
    <row r="355" spans="1:2">
      <c r="A355" t="s">
        <v>921</v>
      </c>
      <c r="B355" t="s">
        <v>220</v>
      </c>
    </row>
    <row r="356" spans="1:2">
      <c r="A356" t="s">
        <v>922</v>
      </c>
      <c r="B356" t="s">
        <v>221</v>
      </c>
    </row>
    <row r="357" spans="1:2">
      <c r="A357" t="s">
        <v>2409</v>
      </c>
      <c r="B357"/>
    </row>
    <row r="358" spans="1:2">
      <c r="A358" t="s">
        <v>2410</v>
      </c>
      <c r="B358">
        <v>1002016</v>
      </c>
    </row>
    <row r="359" spans="1:2">
      <c r="A359" t="s">
        <v>923</v>
      </c>
      <c r="B359" t="s">
        <v>58</v>
      </c>
    </row>
    <row r="360" spans="1:2">
      <c r="A360" t="s">
        <v>924</v>
      </c>
      <c r="B360" t="s">
        <v>204</v>
      </c>
    </row>
    <row r="361" spans="1:2">
      <c r="A361" t="s">
        <v>925</v>
      </c>
      <c r="B361" t="s">
        <v>2339</v>
      </c>
    </row>
    <row r="362" spans="1:2">
      <c r="A362" t="s">
        <v>926</v>
      </c>
      <c r="B362" t="s">
        <v>426</v>
      </c>
    </row>
    <row r="363" spans="1:2">
      <c r="A363" t="s">
        <v>927</v>
      </c>
      <c r="B363" t="s">
        <v>206</v>
      </c>
    </row>
    <row r="364" spans="1:2">
      <c r="A364" t="s">
        <v>928</v>
      </c>
      <c r="B364" t="s">
        <v>207</v>
      </c>
    </row>
    <row r="365" spans="1:2">
      <c r="A365" t="s">
        <v>2411</v>
      </c>
      <c r="B365"/>
    </row>
    <row r="366" spans="1:2">
      <c r="A366" t="s">
        <v>2412</v>
      </c>
      <c r="B366">
        <v>1002017</v>
      </c>
    </row>
    <row r="367" spans="1:2">
      <c r="A367" t="s">
        <v>929</v>
      </c>
      <c r="B367" t="s">
        <v>75</v>
      </c>
    </row>
    <row r="368" spans="1:2">
      <c r="A368" t="s">
        <v>930</v>
      </c>
      <c r="B368" t="s">
        <v>281</v>
      </c>
    </row>
    <row r="369" spans="1:2">
      <c r="A369" t="s">
        <v>931</v>
      </c>
      <c r="B369" t="s">
        <v>2430</v>
      </c>
    </row>
    <row r="370" spans="1:2">
      <c r="A370" t="s">
        <v>932</v>
      </c>
      <c r="B370" t="s">
        <v>461</v>
      </c>
    </row>
    <row r="371" spans="1:2">
      <c r="A371" t="s">
        <v>933</v>
      </c>
      <c r="B371" t="s">
        <v>283</v>
      </c>
    </row>
    <row r="372" spans="1:2">
      <c r="A372" t="s">
        <v>934</v>
      </c>
      <c r="B372" t="s">
        <v>284</v>
      </c>
    </row>
    <row r="373" spans="1:2">
      <c r="A373" t="s">
        <v>2413</v>
      </c>
      <c r="B373"/>
    </row>
    <row r="374" spans="1:2">
      <c r="A374" t="s">
        <v>2414</v>
      </c>
      <c r="B374">
        <v>1002018</v>
      </c>
    </row>
    <row r="375" spans="1:2">
      <c r="A375" t="s">
        <v>935</v>
      </c>
      <c r="B375" t="s">
        <v>78</v>
      </c>
    </row>
    <row r="376" spans="1:2">
      <c r="A376" t="s">
        <v>936</v>
      </c>
      <c r="B376" t="s">
        <v>294</v>
      </c>
    </row>
    <row r="377" spans="1:2">
      <c r="A377" t="s">
        <v>937</v>
      </c>
      <c r="B377" t="s">
        <v>2442</v>
      </c>
    </row>
    <row r="378" spans="1:2">
      <c r="A378" t="s">
        <v>938</v>
      </c>
      <c r="B378" t="s">
        <v>464</v>
      </c>
    </row>
    <row r="379" spans="1:2">
      <c r="A379" t="s">
        <v>939</v>
      </c>
      <c r="B379" t="s">
        <v>3593</v>
      </c>
    </row>
    <row r="380" spans="1:2">
      <c r="A380" t="s">
        <v>940</v>
      </c>
      <c r="B380" t="s">
        <v>296</v>
      </c>
    </row>
    <row r="381" spans="1:2">
      <c r="A381" t="s">
        <v>2415</v>
      </c>
      <c r="B381"/>
    </row>
    <row r="382" spans="1:2">
      <c r="A382" t="s">
        <v>2416</v>
      </c>
      <c r="B382">
        <v>1003021</v>
      </c>
    </row>
    <row r="383" spans="1:2">
      <c r="A383" t="s">
        <v>941</v>
      </c>
      <c r="B383" t="s">
        <v>59</v>
      </c>
    </row>
    <row r="384" spans="1:2">
      <c r="A384" t="s">
        <v>942</v>
      </c>
      <c r="B384" t="s">
        <v>209</v>
      </c>
    </row>
    <row r="385" spans="1:2">
      <c r="A385" t="s">
        <v>943</v>
      </c>
      <c r="B385" t="s">
        <v>2342</v>
      </c>
    </row>
    <row r="386" spans="1:2">
      <c r="A386" t="s">
        <v>944</v>
      </c>
      <c r="B386" t="s">
        <v>427</v>
      </c>
    </row>
    <row r="387" spans="1:2">
      <c r="A387" t="s">
        <v>945</v>
      </c>
      <c r="B387" t="s">
        <v>211</v>
      </c>
    </row>
    <row r="388" spans="1:2">
      <c r="A388" t="s">
        <v>946</v>
      </c>
      <c r="B388" t="s">
        <v>212</v>
      </c>
    </row>
    <row r="389" spans="1:2">
      <c r="A389" t="s">
        <v>2418</v>
      </c>
      <c r="B389"/>
    </row>
    <row r="390" spans="1:2">
      <c r="A390" t="s">
        <v>2419</v>
      </c>
      <c r="B390">
        <v>1003022</v>
      </c>
    </row>
    <row r="391" spans="1:2">
      <c r="A391" t="s">
        <v>947</v>
      </c>
      <c r="B391" t="s">
        <v>52</v>
      </c>
    </row>
    <row r="392" spans="1:2">
      <c r="A392" t="s">
        <v>948</v>
      </c>
      <c r="B392" t="s">
        <v>180</v>
      </c>
    </row>
    <row r="393" spans="1:2">
      <c r="A393" t="s">
        <v>949</v>
      </c>
      <c r="B393" t="s">
        <v>2321</v>
      </c>
    </row>
    <row r="394" spans="1:2">
      <c r="A394" t="s">
        <v>950</v>
      </c>
      <c r="B394" t="s">
        <v>420</v>
      </c>
    </row>
    <row r="395" spans="1:2">
      <c r="A395" t="s">
        <v>951</v>
      </c>
      <c r="B395" t="s">
        <v>182</v>
      </c>
    </row>
    <row r="396" spans="1:2">
      <c r="A396" t="s">
        <v>952</v>
      </c>
      <c r="B396" t="s">
        <v>183</v>
      </c>
    </row>
    <row r="397" spans="1:2">
      <c r="A397" t="s">
        <v>2421</v>
      </c>
      <c r="B397"/>
    </row>
    <row r="398" spans="1:2">
      <c r="A398" t="s">
        <v>2422</v>
      </c>
      <c r="B398">
        <v>1003023</v>
      </c>
    </row>
    <row r="399" spans="1:2">
      <c r="A399" t="s">
        <v>953</v>
      </c>
      <c r="B399" t="s">
        <v>69</v>
      </c>
    </row>
    <row r="400" spans="1:2">
      <c r="A400" t="s">
        <v>954</v>
      </c>
      <c r="B400" t="s">
        <v>253</v>
      </c>
    </row>
    <row r="401" spans="1:2">
      <c r="A401" t="s">
        <v>955</v>
      </c>
      <c r="B401" t="s">
        <v>2395</v>
      </c>
    </row>
    <row r="402" spans="1:2">
      <c r="A402" t="s">
        <v>956</v>
      </c>
      <c r="B402" t="s">
        <v>3413</v>
      </c>
    </row>
    <row r="403" spans="1:2">
      <c r="A403" t="s">
        <v>957</v>
      </c>
      <c r="B403" t="s">
        <v>3412</v>
      </c>
    </row>
    <row r="404" spans="1:2">
      <c r="A404" t="s">
        <v>958</v>
      </c>
      <c r="B404" t="s">
        <v>256</v>
      </c>
    </row>
    <row r="405" spans="1:2">
      <c r="A405" t="s">
        <v>2424</v>
      </c>
      <c r="B405"/>
    </row>
    <row r="406" spans="1:2">
      <c r="A406" t="s">
        <v>2425</v>
      </c>
      <c r="B406">
        <v>1003024</v>
      </c>
    </row>
    <row r="407" spans="1:2">
      <c r="A407" t="s">
        <v>959</v>
      </c>
      <c r="B407" t="s">
        <v>79</v>
      </c>
    </row>
    <row r="408" spans="1:2">
      <c r="A408" t="s">
        <v>960</v>
      </c>
      <c r="B408" t="s">
        <v>297</v>
      </c>
    </row>
    <row r="409" spans="1:2">
      <c r="A409" t="s">
        <v>961</v>
      </c>
      <c r="B409" t="s">
        <v>2445</v>
      </c>
    </row>
    <row r="410" spans="1:2">
      <c r="A410" t="s">
        <v>962</v>
      </c>
      <c r="B410" t="s">
        <v>445</v>
      </c>
    </row>
    <row r="411" spans="1:2">
      <c r="A411" t="s">
        <v>963</v>
      </c>
      <c r="B411" t="s">
        <v>299</v>
      </c>
    </row>
    <row r="412" spans="1:2">
      <c r="A412" t="s">
        <v>964</v>
      </c>
      <c r="B412" t="s">
        <v>300</v>
      </c>
    </row>
    <row r="413" spans="1:2">
      <c r="A413" t="s">
        <v>2426</v>
      </c>
      <c r="B413"/>
    </row>
    <row r="414" spans="1:2">
      <c r="A414" t="s">
        <v>2427</v>
      </c>
      <c r="B414">
        <v>1003025</v>
      </c>
    </row>
    <row r="415" spans="1:2">
      <c r="A415" t="s">
        <v>965</v>
      </c>
      <c r="B415" t="s">
        <v>80</v>
      </c>
    </row>
    <row r="416" spans="1:2">
      <c r="A416" t="s">
        <v>966</v>
      </c>
      <c r="B416" t="s">
        <v>302</v>
      </c>
    </row>
    <row r="417" spans="1:2">
      <c r="A417" t="s">
        <v>967</v>
      </c>
      <c r="B417" t="s">
        <v>2448</v>
      </c>
    </row>
    <row r="418" spans="1:2">
      <c r="A418" t="s">
        <v>968</v>
      </c>
      <c r="B418" t="s">
        <v>465</v>
      </c>
    </row>
    <row r="419" spans="1:2">
      <c r="A419" t="s">
        <v>969</v>
      </c>
      <c r="B419" t="s">
        <v>304</v>
      </c>
    </row>
    <row r="420" spans="1:2">
      <c r="A420" t="s">
        <v>970</v>
      </c>
      <c r="B420" t="s">
        <v>305</v>
      </c>
    </row>
    <row r="421" spans="1:2">
      <c r="A421" t="s">
        <v>2428</v>
      </c>
      <c r="B421"/>
    </row>
    <row r="422" spans="1:2">
      <c r="A422" t="s">
        <v>2429</v>
      </c>
      <c r="B422">
        <v>1004031</v>
      </c>
    </row>
    <row r="423" spans="1:2">
      <c r="A423" t="s">
        <v>971</v>
      </c>
      <c r="B423" t="s">
        <v>56</v>
      </c>
    </row>
    <row r="424" spans="1:2">
      <c r="A424" t="s">
        <v>972</v>
      </c>
      <c r="B424" t="s">
        <v>197</v>
      </c>
    </row>
    <row r="425" spans="1:2">
      <c r="A425" t="s">
        <v>973</v>
      </c>
      <c r="B425" t="s">
        <v>2333</v>
      </c>
    </row>
    <row r="426" spans="1:2">
      <c r="A426" t="s">
        <v>974</v>
      </c>
      <c r="B426" t="s">
        <v>424</v>
      </c>
    </row>
    <row r="427" spans="1:2">
      <c r="A427" t="s">
        <v>975</v>
      </c>
      <c r="B427" t="s">
        <v>199</v>
      </c>
    </row>
    <row r="428" spans="1:2">
      <c r="A428" t="s">
        <v>976</v>
      </c>
      <c r="B428" t="s">
        <v>200</v>
      </c>
    </row>
    <row r="429" spans="1:2">
      <c r="A429" t="s">
        <v>2431</v>
      </c>
      <c r="B429"/>
    </row>
    <row r="430" spans="1:2">
      <c r="A430" t="s">
        <v>2432</v>
      </c>
      <c r="B430">
        <v>1004032</v>
      </c>
    </row>
    <row r="431" spans="1:2">
      <c r="A431" t="s">
        <v>977</v>
      </c>
      <c r="B431" t="s">
        <v>51</v>
      </c>
    </row>
    <row r="432" spans="1:2">
      <c r="A432" t="s">
        <v>978</v>
      </c>
      <c r="B432" t="s">
        <v>175</v>
      </c>
    </row>
    <row r="433" spans="1:2">
      <c r="A433" t="s">
        <v>979</v>
      </c>
      <c r="B433" t="s">
        <v>2318</v>
      </c>
    </row>
    <row r="434" spans="1:2">
      <c r="A434" t="s">
        <v>980</v>
      </c>
      <c r="B434" t="s">
        <v>419</v>
      </c>
    </row>
    <row r="435" spans="1:2">
      <c r="A435" t="s">
        <v>981</v>
      </c>
      <c r="B435" t="s">
        <v>177</v>
      </c>
    </row>
    <row r="436" spans="1:2">
      <c r="A436" t="s">
        <v>982</v>
      </c>
      <c r="B436" t="s">
        <v>178</v>
      </c>
    </row>
    <row r="437" spans="1:2">
      <c r="A437" t="s">
        <v>2433</v>
      </c>
      <c r="B437"/>
    </row>
    <row r="438" spans="1:2">
      <c r="A438" t="s">
        <v>2434</v>
      </c>
      <c r="B438">
        <v>1004033</v>
      </c>
    </row>
    <row r="439" spans="1:2">
      <c r="A439" t="s">
        <v>983</v>
      </c>
      <c r="B439" t="s">
        <v>67</v>
      </c>
    </row>
    <row r="440" spans="1:2">
      <c r="A440" t="s">
        <v>984</v>
      </c>
      <c r="B440" t="s">
        <v>245</v>
      </c>
    </row>
    <row r="441" spans="1:2">
      <c r="A441" t="s">
        <v>985</v>
      </c>
      <c r="B441" t="s">
        <v>2387</v>
      </c>
    </row>
    <row r="442" spans="1:2">
      <c r="A442" t="s">
        <v>986</v>
      </c>
      <c r="B442" t="s">
        <v>453</v>
      </c>
    </row>
    <row r="443" spans="1:2">
      <c r="A443" t="s">
        <v>987</v>
      </c>
      <c r="B443" t="s">
        <v>247</v>
      </c>
    </row>
    <row r="444" spans="1:2">
      <c r="A444" t="s">
        <v>988</v>
      </c>
      <c r="B444" t="s">
        <v>248</v>
      </c>
    </row>
    <row r="445" spans="1:2">
      <c r="A445" t="s">
        <v>2436</v>
      </c>
      <c r="B445"/>
    </row>
    <row r="446" spans="1:2">
      <c r="A446" t="s">
        <v>2437</v>
      </c>
      <c r="B446">
        <v>1004034</v>
      </c>
    </row>
    <row r="447" spans="1:2">
      <c r="A447" t="s">
        <v>989</v>
      </c>
      <c r="B447" t="s">
        <v>81</v>
      </c>
    </row>
    <row r="448" spans="1:2">
      <c r="A448" t="s">
        <v>990</v>
      </c>
      <c r="B448" t="s">
        <v>307</v>
      </c>
    </row>
    <row r="449" spans="1:2">
      <c r="A449" t="s">
        <v>991</v>
      </c>
      <c r="B449" t="s">
        <v>2449</v>
      </c>
    </row>
    <row r="450" spans="1:2">
      <c r="A450" t="s">
        <v>992</v>
      </c>
      <c r="B450" t="s">
        <v>466</v>
      </c>
    </row>
    <row r="451" spans="1:2">
      <c r="A451" t="s">
        <v>993</v>
      </c>
      <c r="B451" t="s">
        <v>309</v>
      </c>
    </row>
    <row r="452" spans="1:2">
      <c r="A452" t="s">
        <v>994</v>
      </c>
      <c r="B452" t="s">
        <v>310</v>
      </c>
    </row>
    <row r="453" spans="1:2">
      <c r="A453" t="s">
        <v>2438</v>
      </c>
      <c r="B453"/>
    </row>
    <row r="454" spans="1:2">
      <c r="A454" t="s">
        <v>2439</v>
      </c>
      <c r="B454">
        <v>1004036</v>
      </c>
    </row>
    <row r="455" spans="1:2">
      <c r="A455" t="s">
        <v>995</v>
      </c>
      <c r="B455" t="s">
        <v>66</v>
      </c>
    </row>
    <row r="456" spans="1:2">
      <c r="A456" t="s">
        <v>996</v>
      </c>
      <c r="B456" t="s">
        <v>240</v>
      </c>
    </row>
    <row r="457" spans="1:2">
      <c r="A457" t="s">
        <v>997</v>
      </c>
      <c r="B457" t="s">
        <v>2360</v>
      </c>
    </row>
    <row r="458" spans="1:2">
      <c r="A458" t="s">
        <v>998</v>
      </c>
      <c r="B458" t="s">
        <v>434</v>
      </c>
    </row>
    <row r="459" spans="1:2">
      <c r="A459" t="s">
        <v>999</v>
      </c>
      <c r="B459" t="s">
        <v>242</v>
      </c>
    </row>
    <row r="460" spans="1:2">
      <c r="A460" t="s">
        <v>1000</v>
      </c>
      <c r="B460" t="s">
        <v>243</v>
      </c>
    </row>
    <row r="461" spans="1:2">
      <c r="A461" t="s">
        <v>2440</v>
      </c>
      <c r="B461"/>
    </row>
    <row r="462" spans="1:2">
      <c r="A462" t="s">
        <v>2441</v>
      </c>
      <c r="B462">
        <v>1005041</v>
      </c>
    </row>
    <row r="463" spans="1:2">
      <c r="A463" t="s">
        <v>1001</v>
      </c>
      <c r="B463" t="s">
        <v>71</v>
      </c>
    </row>
    <row r="464" spans="1:2">
      <c r="A464" t="s">
        <v>1002</v>
      </c>
      <c r="B464" t="s">
        <v>264</v>
      </c>
    </row>
    <row r="465" spans="1:2">
      <c r="A465" t="s">
        <v>1003</v>
      </c>
      <c r="B465" t="s">
        <v>2417</v>
      </c>
    </row>
    <row r="466" spans="1:2">
      <c r="A466" t="s">
        <v>1004</v>
      </c>
      <c r="B466" t="s">
        <v>457</v>
      </c>
    </row>
    <row r="467" spans="1:2">
      <c r="A467" t="s">
        <v>1005</v>
      </c>
      <c r="B467" t="s">
        <v>266</v>
      </c>
    </row>
    <row r="468" spans="1:2">
      <c r="A468" t="s">
        <v>1006</v>
      </c>
      <c r="B468" t="s">
        <v>267</v>
      </c>
    </row>
    <row r="469" spans="1:2">
      <c r="A469" t="s">
        <v>2443</v>
      </c>
      <c r="B469"/>
    </row>
    <row r="470" spans="1:2">
      <c r="A470" t="s">
        <v>2444</v>
      </c>
      <c r="B470">
        <v>1005043</v>
      </c>
    </row>
    <row r="471" spans="1:2">
      <c r="A471" t="s">
        <v>1007</v>
      </c>
      <c r="B471" t="s">
        <v>77</v>
      </c>
    </row>
    <row r="472" spans="1:2">
      <c r="A472" t="s">
        <v>1008</v>
      </c>
      <c r="B472" t="s">
        <v>290</v>
      </c>
    </row>
    <row r="473" spans="1:2">
      <c r="A473" t="s">
        <v>1009</v>
      </c>
      <c r="B473" t="s">
        <v>2435</v>
      </c>
    </row>
    <row r="474" spans="1:2">
      <c r="A474" t="s">
        <v>1010</v>
      </c>
      <c r="B474" t="s">
        <v>463</v>
      </c>
    </row>
    <row r="475" spans="1:2">
      <c r="A475" t="s">
        <v>1011</v>
      </c>
      <c r="B475" t="s">
        <v>292</v>
      </c>
    </row>
    <row r="476" spans="1:2">
      <c r="A476" t="s">
        <v>1012</v>
      </c>
      <c r="B476" t="s">
        <v>293</v>
      </c>
    </row>
    <row r="477" spans="1:2">
      <c r="A477" t="s">
        <v>2446</v>
      </c>
      <c r="B477"/>
    </row>
    <row r="478" spans="1:2">
      <c r="A478" t="s">
        <v>2447</v>
      </c>
      <c r="B478">
        <v>1005044</v>
      </c>
    </row>
    <row r="479" spans="1:2">
      <c r="A479" t="s">
        <v>681</v>
      </c>
      <c r="B479" t="s">
        <v>102</v>
      </c>
    </row>
    <row r="480" spans="1:2">
      <c r="A480" t="s">
        <v>682</v>
      </c>
      <c r="B480" t="s">
        <v>392</v>
      </c>
    </row>
    <row r="481" spans="1:2">
      <c r="A481" t="s">
        <v>684</v>
      </c>
      <c r="B481" t="s">
        <v>489</v>
      </c>
    </row>
    <row r="482" spans="1:2">
      <c r="A482" t="s">
        <v>683</v>
      </c>
      <c r="B482" t="s">
        <v>2484</v>
      </c>
    </row>
    <row r="483" spans="1:2">
      <c r="A483" t="s">
        <v>685</v>
      </c>
      <c r="B483" t="s">
        <v>394</v>
      </c>
    </row>
    <row r="484" spans="1:2">
      <c r="A484" t="s">
        <v>686</v>
      </c>
      <c r="B484" t="s">
        <v>395</v>
      </c>
    </row>
    <row r="485" spans="1:2">
      <c r="A485" t="s">
        <v>2681</v>
      </c>
      <c r="B485"/>
    </row>
    <row r="486" spans="1:2">
      <c r="A486" t="s">
        <v>2682</v>
      </c>
      <c r="B486">
        <v>2001001</v>
      </c>
    </row>
    <row r="487" spans="1:2">
      <c r="A487" t="s">
        <v>1028</v>
      </c>
      <c r="B487" t="s">
        <v>107</v>
      </c>
    </row>
    <row r="488" spans="1:2">
      <c r="A488" t="s">
        <v>1029</v>
      </c>
      <c r="B488" t="s">
        <v>412</v>
      </c>
    </row>
    <row r="489" spans="1:2">
      <c r="A489" t="s">
        <v>1031</v>
      </c>
      <c r="B489" t="s">
        <v>494</v>
      </c>
    </row>
    <row r="490" spans="1:2">
      <c r="A490" t="s">
        <v>1030</v>
      </c>
      <c r="B490" t="s">
        <v>2489</v>
      </c>
    </row>
    <row r="491" spans="1:2">
      <c r="A491" t="s">
        <v>1032</v>
      </c>
      <c r="B491" t="s">
        <v>414</v>
      </c>
    </row>
    <row r="492" spans="1:2">
      <c r="A492" t="s">
        <v>1033</v>
      </c>
      <c r="B492" t="s">
        <v>415</v>
      </c>
    </row>
    <row r="493" spans="1:2">
      <c r="A493" t="s">
        <v>2683</v>
      </c>
      <c r="B493"/>
    </row>
    <row r="494" spans="1:2">
      <c r="A494" t="s">
        <v>2684</v>
      </c>
      <c r="B494">
        <v>2001002</v>
      </c>
    </row>
    <row r="495" spans="1:2">
      <c r="A495" t="s">
        <v>1034</v>
      </c>
      <c r="B495" t="s">
        <v>104</v>
      </c>
    </row>
    <row r="496" spans="1:2">
      <c r="A496" t="s">
        <v>1035</v>
      </c>
      <c r="B496" t="s">
        <v>400</v>
      </c>
    </row>
    <row r="497" spans="1:2">
      <c r="A497" t="s">
        <v>1037</v>
      </c>
      <c r="B497" t="s">
        <v>491</v>
      </c>
    </row>
    <row r="498" spans="1:2">
      <c r="A498" t="s">
        <v>1036</v>
      </c>
      <c r="B498" t="s">
        <v>2486</v>
      </c>
    </row>
    <row r="499" spans="1:2">
      <c r="A499" t="s">
        <v>1038</v>
      </c>
      <c r="B499" t="s">
        <v>402</v>
      </c>
    </row>
    <row r="500" spans="1:2">
      <c r="A500" t="s">
        <v>1039</v>
      </c>
      <c r="B500" t="s">
        <v>403</v>
      </c>
    </row>
    <row r="501" spans="1:2">
      <c r="A501" t="s">
        <v>2685</v>
      </c>
      <c r="B501"/>
    </row>
    <row r="502" spans="1:2">
      <c r="A502" t="s">
        <v>2686</v>
      </c>
      <c r="B502">
        <v>2001003</v>
      </c>
    </row>
    <row r="503" spans="1:2">
      <c r="A503" t="s">
        <v>1040</v>
      </c>
      <c r="B503" t="s">
        <v>72</v>
      </c>
    </row>
    <row r="504" spans="1:2">
      <c r="A504" t="s">
        <v>1041</v>
      </c>
      <c r="B504" t="s">
        <v>269</v>
      </c>
    </row>
    <row r="505" spans="1:2">
      <c r="A505" t="s">
        <v>1043</v>
      </c>
      <c r="B505" t="s">
        <v>458</v>
      </c>
    </row>
    <row r="506" spans="1:2">
      <c r="A506" t="s">
        <v>1042</v>
      </c>
      <c r="B506" t="s">
        <v>2420</v>
      </c>
    </row>
    <row r="507" spans="1:2">
      <c r="A507" t="s">
        <v>1044</v>
      </c>
      <c r="B507" t="s">
        <v>271</v>
      </c>
    </row>
    <row r="508" spans="1:2">
      <c r="A508" t="s">
        <v>1045</v>
      </c>
      <c r="B508" t="s">
        <v>272</v>
      </c>
    </row>
    <row r="509" spans="1:2">
      <c r="A509" t="s">
        <v>2687</v>
      </c>
      <c r="B509"/>
    </row>
    <row r="510" spans="1:2">
      <c r="A510" t="s">
        <v>2688</v>
      </c>
      <c r="B510">
        <v>2001004</v>
      </c>
    </row>
    <row r="511" spans="1:2">
      <c r="A511" t="s">
        <v>1046</v>
      </c>
      <c r="B511" t="s">
        <v>89</v>
      </c>
    </row>
    <row r="512" spans="1:2">
      <c r="A512" t="s">
        <v>1047</v>
      </c>
      <c r="B512" t="s">
        <v>340</v>
      </c>
    </row>
    <row r="513" spans="1:2">
      <c r="A513" t="s">
        <v>1049</v>
      </c>
      <c r="B513" t="s">
        <v>476</v>
      </c>
    </row>
    <row r="514" spans="1:2">
      <c r="A514" t="s">
        <v>1048</v>
      </c>
      <c r="B514" t="s">
        <v>2473</v>
      </c>
    </row>
    <row r="515" spans="1:2">
      <c r="A515" t="s">
        <v>1050</v>
      </c>
      <c r="B515" t="s">
        <v>342</v>
      </c>
    </row>
    <row r="516" spans="1:2">
      <c r="A516" t="s">
        <v>1051</v>
      </c>
      <c r="B516" t="s">
        <v>343</v>
      </c>
    </row>
    <row r="517" spans="1:2">
      <c r="A517" t="s">
        <v>2689</v>
      </c>
      <c r="B517"/>
    </row>
    <row r="518" spans="1:2">
      <c r="A518" t="s">
        <v>2690</v>
      </c>
      <c r="B518">
        <v>2001005</v>
      </c>
    </row>
    <row r="519" spans="1:2">
      <c r="A519" t="s">
        <v>1052</v>
      </c>
      <c r="B519" t="s">
        <v>103</v>
      </c>
    </row>
    <row r="520" spans="1:2">
      <c r="A520" t="s">
        <v>1053</v>
      </c>
      <c r="B520" t="s">
        <v>396</v>
      </c>
    </row>
    <row r="521" spans="1:2">
      <c r="A521" t="s">
        <v>1055</v>
      </c>
      <c r="B521" t="s">
        <v>490</v>
      </c>
    </row>
    <row r="522" spans="1:2">
      <c r="A522" t="s">
        <v>1054</v>
      </c>
      <c r="B522" t="s">
        <v>2485</v>
      </c>
    </row>
    <row r="523" spans="1:2">
      <c r="A523" t="s">
        <v>1056</v>
      </c>
      <c r="B523" t="s">
        <v>398</v>
      </c>
    </row>
    <row r="524" spans="1:2">
      <c r="A524" t="s">
        <v>1057</v>
      </c>
      <c r="B524" t="s">
        <v>399</v>
      </c>
    </row>
    <row r="525" spans="1:2">
      <c r="A525" t="s">
        <v>2691</v>
      </c>
      <c r="B525"/>
    </row>
    <row r="526" spans="1:2">
      <c r="A526" t="s">
        <v>2692</v>
      </c>
      <c r="B526">
        <v>2001006</v>
      </c>
    </row>
    <row r="527" spans="1:2">
      <c r="A527" t="s">
        <v>1058</v>
      </c>
      <c r="B527" t="s">
        <v>95</v>
      </c>
    </row>
    <row r="528" spans="1:2">
      <c r="A528" t="s">
        <v>1059</v>
      </c>
      <c r="B528" t="s">
        <v>365</v>
      </c>
    </row>
    <row r="529" spans="1:2">
      <c r="A529" t="s">
        <v>1061</v>
      </c>
      <c r="B529" t="s">
        <v>482</v>
      </c>
    </row>
    <row r="530" spans="1:2">
      <c r="A530" t="s">
        <v>1060</v>
      </c>
      <c r="B530" t="s">
        <v>2478</v>
      </c>
    </row>
    <row r="531" spans="1:2">
      <c r="A531" t="s">
        <v>1062</v>
      </c>
      <c r="B531" t="s">
        <v>367</v>
      </c>
    </row>
    <row r="532" spans="1:2">
      <c r="A532" t="s">
        <v>1063</v>
      </c>
      <c r="B532" t="s">
        <v>368</v>
      </c>
    </row>
    <row r="533" spans="1:2">
      <c r="A533" t="s">
        <v>2693</v>
      </c>
      <c r="B533"/>
    </row>
    <row r="534" spans="1:2">
      <c r="A534" t="s">
        <v>2694</v>
      </c>
      <c r="B534">
        <v>2001007</v>
      </c>
    </row>
    <row r="535" spans="1:2">
      <c r="A535" t="s">
        <v>1064</v>
      </c>
      <c r="B535" t="s">
        <v>62</v>
      </c>
    </row>
    <row r="536" spans="1:2">
      <c r="A536" t="s">
        <v>1065</v>
      </c>
      <c r="B536" t="s">
        <v>223</v>
      </c>
    </row>
    <row r="537" spans="1:2">
      <c r="A537" t="s">
        <v>1067</v>
      </c>
      <c r="B537" t="s">
        <v>430</v>
      </c>
    </row>
    <row r="538" spans="1:2">
      <c r="A538" t="s">
        <v>1066</v>
      </c>
      <c r="B538" t="s">
        <v>2351</v>
      </c>
    </row>
    <row r="539" spans="1:2">
      <c r="A539" t="s">
        <v>1068</v>
      </c>
      <c r="B539" t="s">
        <v>3569</v>
      </c>
    </row>
    <row r="540" spans="1:2">
      <c r="A540" t="s">
        <v>1069</v>
      </c>
      <c r="B540" t="s">
        <v>226</v>
      </c>
    </row>
    <row r="541" spans="1:2">
      <c r="A541" t="s">
        <v>2695</v>
      </c>
      <c r="B541"/>
    </row>
    <row r="542" spans="1:2">
      <c r="A542" t="s">
        <v>2696</v>
      </c>
      <c r="B542">
        <v>2001007</v>
      </c>
    </row>
    <row r="543" spans="1:2">
      <c r="A543" t="s">
        <v>1070</v>
      </c>
      <c r="B543" t="s">
        <v>53</v>
      </c>
    </row>
    <row r="544" spans="1:2">
      <c r="A544" t="s">
        <v>1071</v>
      </c>
      <c r="B544" t="s">
        <v>185</v>
      </c>
    </row>
    <row r="545" spans="1:2">
      <c r="A545" t="s">
        <v>1073</v>
      </c>
      <c r="B545" t="s">
        <v>421</v>
      </c>
    </row>
    <row r="546" spans="1:2">
      <c r="A546" t="s">
        <v>1072</v>
      </c>
      <c r="B546" t="s">
        <v>2324</v>
      </c>
    </row>
    <row r="547" spans="1:2">
      <c r="A547" t="s">
        <v>1074</v>
      </c>
      <c r="B547" t="s">
        <v>3571</v>
      </c>
    </row>
    <row r="548" spans="1:2">
      <c r="A548" t="s">
        <v>1075</v>
      </c>
      <c r="B548" t="s">
        <v>188</v>
      </c>
    </row>
    <row r="549" spans="1:2">
      <c r="A549" t="s">
        <v>2697</v>
      </c>
      <c r="B549"/>
    </row>
    <row r="550" spans="1:2">
      <c r="A550" t="s">
        <v>2698</v>
      </c>
      <c r="B550">
        <v>2001008</v>
      </c>
    </row>
    <row r="551" spans="1:2">
      <c r="A551" t="s">
        <v>1076</v>
      </c>
      <c r="B551" t="s">
        <v>88</v>
      </c>
    </row>
    <row r="552" spans="1:2">
      <c r="A552" t="s">
        <v>1077</v>
      </c>
      <c r="B552" t="s">
        <v>336</v>
      </c>
    </row>
    <row r="553" spans="1:2">
      <c r="A553" t="s">
        <v>1079</v>
      </c>
      <c r="B553" t="s">
        <v>475</v>
      </c>
    </row>
    <row r="554" spans="1:2">
      <c r="A554" t="s">
        <v>1078</v>
      </c>
      <c r="B554" t="s">
        <v>2472</v>
      </c>
    </row>
    <row r="555" spans="1:2">
      <c r="A555" t="s">
        <v>1080</v>
      </c>
      <c r="B555" t="s">
        <v>338</v>
      </c>
    </row>
    <row r="556" spans="1:2">
      <c r="A556" t="s">
        <v>1081</v>
      </c>
      <c r="B556" t="s">
        <v>339</v>
      </c>
    </row>
    <row r="557" spans="1:2">
      <c r="A557" t="s">
        <v>2699</v>
      </c>
      <c r="B557"/>
    </row>
    <row r="558" spans="1:2">
      <c r="A558" t="s">
        <v>2700</v>
      </c>
      <c r="B558">
        <v>2002011</v>
      </c>
    </row>
    <row r="559" spans="1:2">
      <c r="A559" t="s">
        <v>1082</v>
      </c>
      <c r="B559" t="s">
        <v>100</v>
      </c>
    </row>
    <row r="560" spans="1:2">
      <c r="A560" t="s">
        <v>1083</v>
      </c>
      <c r="B560" t="s">
        <v>384</v>
      </c>
    </row>
    <row r="561" spans="1:2">
      <c r="A561" t="s">
        <v>1085</v>
      </c>
      <c r="B561" t="s">
        <v>487</v>
      </c>
    </row>
    <row r="562" spans="1:2">
      <c r="A562" t="s">
        <v>1084</v>
      </c>
      <c r="B562" t="s">
        <v>2483</v>
      </c>
    </row>
    <row r="563" spans="1:2">
      <c r="A563" t="s">
        <v>1086</v>
      </c>
      <c r="B563" t="s">
        <v>385</v>
      </c>
    </row>
    <row r="564" spans="1:2">
      <c r="A564" t="s">
        <v>1087</v>
      </c>
      <c r="B564" t="s">
        <v>386</v>
      </c>
    </row>
    <row r="565" spans="1:2">
      <c r="A565" t="s">
        <v>2701</v>
      </c>
      <c r="B565"/>
    </row>
    <row r="566" spans="1:2">
      <c r="A566" t="s">
        <v>2702</v>
      </c>
      <c r="B566">
        <v>2002012</v>
      </c>
    </row>
    <row r="567" spans="1:2">
      <c r="A567" t="s">
        <v>1088</v>
      </c>
      <c r="B567" t="s">
        <v>93</v>
      </c>
    </row>
    <row r="568" spans="1:2">
      <c r="A568" t="s">
        <v>1089</v>
      </c>
      <c r="B568" t="s">
        <v>355</v>
      </c>
    </row>
    <row r="569" spans="1:2">
      <c r="A569" t="s">
        <v>1091</v>
      </c>
      <c r="B569" t="s">
        <v>480</v>
      </c>
    </row>
    <row r="570" spans="1:2">
      <c r="A570" t="s">
        <v>1090</v>
      </c>
      <c r="B570" t="s">
        <v>2476</v>
      </c>
    </row>
    <row r="571" spans="1:2">
      <c r="A571" t="s">
        <v>1092</v>
      </c>
      <c r="B571" t="s">
        <v>357</v>
      </c>
    </row>
    <row r="572" spans="1:2">
      <c r="A572" t="s">
        <v>1093</v>
      </c>
      <c r="B572" t="s">
        <v>358</v>
      </c>
    </row>
    <row r="573" spans="1:2">
      <c r="A573" t="s">
        <v>2703</v>
      </c>
      <c r="B573"/>
    </row>
    <row r="574" spans="1:2">
      <c r="A574" t="s">
        <v>2704</v>
      </c>
      <c r="B574">
        <v>2002014</v>
      </c>
    </row>
    <row r="575" spans="1:2">
      <c r="A575" t="s">
        <v>1094</v>
      </c>
      <c r="B575" t="s">
        <v>78</v>
      </c>
    </row>
    <row r="576" spans="1:2">
      <c r="A576" t="s">
        <v>1095</v>
      </c>
      <c r="B576" t="s">
        <v>294</v>
      </c>
    </row>
    <row r="577" spans="1:2">
      <c r="A577" t="s">
        <v>1097</v>
      </c>
      <c r="B577" t="s">
        <v>464</v>
      </c>
    </row>
    <row r="578" spans="1:2">
      <c r="A578" t="s">
        <v>1096</v>
      </c>
      <c r="B578" t="s">
        <v>2442</v>
      </c>
    </row>
    <row r="579" spans="1:2">
      <c r="A579" t="s">
        <v>1098</v>
      </c>
      <c r="B579" t="s">
        <v>3599</v>
      </c>
    </row>
    <row r="580" spans="1:2">
      <c r="A580" t="s">
        <v>1099</v>
      </c>
      <c r="B580" t="s">
        <v>296</v>
      </c>
    </row>
    <row r="581" spans="1:2">
      <c r="A581" t="s">
        <v>2705</v>
      </c>
      <c r="B581"/>
    </row>
    <row r="582" spans="1:2">
      <c r="A582" t="s">
        <v>2706</v>
      </c>
      <c r="B582">
        <v>2002015</v>
      </c>
    </row>
    <row r="583" spans="1:2">
      <c r="A583" t="s">
        <v>1100</v>
      </c>
      <c r="B583" t="s">
        <v>73</v>
      </c>
    </row>
    <row r="584" spans="1:2">
      <c r="A584" t="s">
        <v>1101</v>
      </c>
      <c r="B584" t="s">
        <v>273</v>
      </c>
    </row>
    <row r="585" spans="1:2">
      <c r="A585" t="s">
        <v>1103</v>
      </c>
      <c r="B585" t="s">
        <v>459</v>
      </c>
    </row>
    <row r="586" spans="1:2">
      <c r="A586" t="s">
        <v>1102</v>
      </c>
      <c r="B586" t="s">
        <v>2423</v>
      </c>
    </row>
    <row r="587" spans="1:2">
      <c r="A587" t="s">
        <v>1104</v>
      </c>
      <c r="B587" t="s">
        <v>3595</v>
      </c>
    </row>
    <row r="588" spans="1:2">
      <c r="A588" t="s">
        <v>1105</v>
      </c>
      <c r="B588" t="s">
        <v>276</v>
      </c>
    </row>
    <row r="589" spans="1:2">
      <c r="A589" t="s">
        <v>2707</v>
      </c>
      <c r="B589"/>
    </row>
    <row r="590" spans="1:2">
      <c r="A590" t="s">
        <v>2708</v>
      </c>
      <c r="B590">
        <v>2002016</v>
      </c>
    </row>
    <row r="591" spans="1:2">
      <c r="A591" t="s">
        <v>1106</v>
      </c>
      <c r="B591" t="s">
        <v>106</v>
      </c>
    </row>
    <row r="592" spans="1:2">
      <c r="A592" t="s">
        <v>1107</v>
      </c>
      <c r="B592" t="s">
        <v>408</v>
      </c>
    </row>
    <row r="593" spans="1:2">
      <c r="A593" t="s">
        <v>1109</v>
      </c>
      <c r="B593" t="s">
        <v>493</v>
      </c>
    </row>
    <row r="594" spans="1:2">
      <c r="A594" t="s">
        <v>1108</v>
      </c>
      <c r="B594" t="s">
        <v>2488</v>
      </c>
    </row>
    <row r="595" spans="1:2">
      <c r="A595" t="s">
        <v>1110</v>
      </c>
      <c r="B595" t="s">
        <v>410</v>
      </c>
    </row>
    <row r="596" spans="1:2">
      <c r="A596" t="s">
        <v>1111</v>
      </c>
      <c r="B596" t="s">
        <v>411</v>
      </c>
    </row>
    <row r="597" spans="1:2">
      <c r="A597" t="s">
        <v>2709</v>
      </c>
      <c r="B597"/>
    </row>
    <row r="598" spans="1:2">
      <c r="A598" t="s">
        <v>2710</v>
      </c>
      <c r="B598">
        <v>2002017</v>
      </c>
    </row>
    <row r="599" spans="1:2">
      <c r="A599" t="s">
        <v>1112</v>
      </c>
      <c r="B599" t="s">
        <v>83</v>
      </c>
    </row>
    <row r="600" spans="1:2">
      <c r="A600" t="s">
        <v>1113</v>
      </c>
      <c r="B600" t="s">
        <v>316</v>
      </c>
    </row>
    <row r="601" spans="1:2">
      <c r="A601" t="s">
        <v>1115</v>
      </c>
      <c r="B601" t="s">
        <v>470</v>
      </c>
    </row>
    <row r="602" spans="1:2">
      <c r="A602" t="s">
        <v>1114</v>
      </c>
      <c r="B602" t="s">
        <v>2467</v>
      </c>
    </row>
    <row r="603" spans="1:2">
      <c r="A603" t="s">
        <v>1116</v>
      </c>
      <c r="B603" t="s">
        <v>318</v>
      </c>
    </row>
    <row r="604" spans="1:2">
      <c r="A604" t="s">
        <v>1117</v>
      </c>
      <c r="B604" t="s">
        <v>319</v>
      </c>
    </row>
    <row r="605" spans="1:2">
      <c r="A605" t="s">
        <v>2711</v>
      </c>
      <c r="B605"/>
    </row>
    <row r="606" spans="1:2">
      <c r="A606" t="s">
        <v>2712</v>
      </c>
      <c r="B606">
        <v>2002018</v>
      </c>
    </row>
    <row r="607" spans="1:2">
      <c r="A607" t="s">
        <v>1118</v>
      </c>
      <c r="B607" t="s">
        <v>64</v>
      </c>
    </row>
    <row r="608" spans="1:2">
      <c r="A608" t="s">
        <v>1119</v>
      </c>
      <c r="B608" t="s">
        <v>231</v>
      </c>
    </row>
    <row r="609" spans="1:2">
      <c r="A609" t="s">
        <v>1121</v>
      </c>
      <c r="B609" t="s">
        <v>432</v>
      </c>
    </row>
    <row r="610" spans="1:2">
      <c r="A610" t="s">
        <v>1120</v>
      </c>
      <c r="B610" t="s">
        <v>2356</v>
      </c>
    </row>
    <row r="611" spans="1:2">
      <c r="A611" t="s">
        <v>1122</v>
      </c>
      <c r="B611" t="s">
        <v>3576</v>
      </c>
    </row>
    <row r="612" spans="1:2">
      <c r="A612" t="s">
        <v>1123</v>
      </c>
      <c r="B612" t="s">
        <v>234</v>
      </c>
    </row>
    <row r="613" spans="1:2">
      <c r="A613" t="s">
        <v>2713</v>
      </c>
      <c r="B613"/>
    </row>
    <row r="614" spans="1:2">
      <c r="A614" t="s">
        <v>2714</v>
      </c>
      <c r="B614">
        <v>2002019</v>
      </c>
    </row>
    <row r="615" spans="1:2">
      <c r="A615" t="s">
        <v>1124</v>
      </c>
      <c r="B615" t="s">
        <v>90</v>
      </c>
    </row>
    <row r="616" spans="1:2">
      <c r="A616" t="s">
        <v>1125</v>
      </c>
      <c r="B616" t="s">
        <v>344</v>
      </c>
    </row>
    <row r="617" spans="1:2">
      <c r="A617" t="s">
        <v>1127</v>
      </c>
      <c r="B617" t="s">
        <v>477</v>
      </c>
    </row>
    <row r="618" spans="1:2">
      <c r="A618" t="s">
        <v>1126</v>
      </c>
      <c r="B618" t="s">
        <v>2474</v>
      </c>
    </row>
    <row r="619" spans="1:2">
      <c r="A619" t="s">
        <v>1128</v>
      </c>
      <c r="B619" t="s">
        <v>346</v>
      </c>
    </row>
    <row r="620" spans="1:2">
      <c r="A620" t="s">
        <v>1129</v>
      </c>
      <c r="B620" t="s">
        <v>347</v>
      </c>
    </row>
    <row r="621" spans="1:2">
      <c r="A621" t="s">
        <v>2715</v>
      </c>
      <c r="B621"/>
    </row>
    <row r="622" spans="1:2">
      <c r="A622" t="s">
        <v>2716</v>
      </c>
      <c r="B622">
        <v>2003021</v>
      </c>
    </row>
    <row r="623" spans="1:2">
      <c r="A623" t="s">
        <v>1130</v>
      </c>
      <c r="B623" t="s">
        <v>87</v>
      </c>
    </row>
    <row r="624" spans="1:2">
      <c r="A624" t="s">
        <v>1131</v>
      </c>
      <c r="B624" t="s">
        <v>332</v>
      </c>
    </row>
    <row r="625" spans="1:2">
      <c r="A625" t="s">
        <v>1133</v>
      </c>
      <c r="B625" t="s">
        <v>474</v>
      </c>
    </row>
    <row r="626" spans="1:2">
      <c r="A626" t="s">
        <v>1132</v>
      </c>
      <c r="B626" t="s">
        <v>2471</v>
      </c>
    </row>
    <row r="627" spans="1:2">
      <c r="A627" t="s">
        <v>1134</v>
      </c>
      <c r="B627" t="s">
        <v>334</v>
      </c>
    </row>
    <row r="628" spans="1:2">
      <c r="A628" t="s">
        <v>1135</v>
      </c>
      <c r="B628" t="s">
        <v>335</v>
      </c>
    </row>
    <row r="629" spans="1:2">
      <c r="A629" t="s">
        <v>2717</v>
      </c>
      <c r="B629"/>
    </row>
    <row r="630" spans="1:2">
      <c r="A630" t="s">
        <v>2718</v>
      </c>
      <c r="B630">
        <v>2003022</v>
      </c>
    </row>
    <row r="631" spans="1:2">
      <c r="A631" t="s">
        <v>1136</v>
      </c>
      <c r="B631" t="s">
        <v>96</v>
      </c>
    </row>
    <row r="632" spans="1:2">
      <c r="A632" t="s">
        <v>1137</v>
      </c>
      <c r="B632" t="s">
        <v>369</v>
      </c>
    </row>
    <row r="633" spans="1:2">
      <c r="A633" t="s">
        <v>1139</v>
      </c>
      <c r="B633" t="s">
        <v>483</v>
      </c>
    </row>
    <row r="634" spans="1:2">
      <c r="A634" t="s">
        <v>1138</v>
      </c>
      <c r="B634" t="s">
        <v>2479</v>
      </c>
    </row>
    <row r="635" spans="1:2">
      <c r="A635" t="s">
        <v>1140</v>
      </c>
      <c r="B635" t="s">
        <v>371</v>
      </c>
    </row>
    <row r="636" spans="1:2">
      <c r="A636" t="s">
        <v>1141</v>
      </c>
      <c r="B636" t="s">
        <v>372</v>
      </c>
    </row>
    <row r="637" spans="1:2">
      <c r="A637" t="s">
        <v>2719</v>
      </c>
      <c r="B637"/>
    </row>
    <row r="638" spans="1:2">
      <c r="A638" t="s">
        <v>2720</v>
      </c>
      <c r="B638">
        <v>2003023</v>
      </c>
    </row>
    <row r="639" spans="1:2">
      <c r="A639" t="s">
        <v>1142</v>
      </c>
      <c r="B639" t="s">
        <v>94</v>
      </c>
    </row>
    <row r="640" spans="1:2">
      <c r="A640" t="s">
        <v>1143</v>
      </c>
      <c r="B640" t="s">
        <v>360</v>
      </c>
    </row>
    <row r="641" spans="1:2">
      <c r="A641" t="s">
        <v>1145</v>
      </c>
      <c r="B641" t="s">
        <v>481</v>
      </c>
    </row>
    <row r="642" spans="1:2">
      <c r="A642" t="s">
        <v>1144</v>
      </c>
      <c r="B642" t="s">
        <v>2477</v>
      </c>
    </row>
    <row r="643" spans="1:2">
      <c r="A643" t="s">
        <v>1146</v>
      </c>
      <c r="B643" t="s">
        <v>362</v>
      </c>
    </row>
    <row r="644" spans="1:2">
      <c r="A644" t="s">
        <v>1147</v>
      </c>
      <c r="B644" t="s">
        <v>363</v>
      </c>
    </row>
    <row r="645" spans="1:2">
      <c r="A645" t="s">
        <v>2721</v>
      </c>
      <c r="B645"/>
    </row>
    <row r="646" spans="1:2">
      <c r="A646" t="s">
        <v>2722</v>
      </c>
      <c r="B646">
        <v>2003025</v>
      </c>
    </row>
    <row r="647" spans="1:2">
      <c r="A647" t="s">
        <v>1148</v>
      </c>
      <c r="B647" t="s">
        <v>84</v>
      </c>
    </row>
    <row r="648" spans="1:2">
      <c r="A648" t="s">
        <v>1149</v>
      </c>
      <c r="B648" t="s">
        <v>320</v>
      </c>
    </row>
    <row r="649" spans="1:2">
      <c r="A649" t="s">
        <v>1151</v>
      </c>
      <c r="B649" t="s">
        <v>471</v>
      </c>
    </row>
    <row r="650" spans="1:2">
      <c r="A650" t="s">
        <v>1150</v>
      </c>
      <c r="B650" t="s">
        <v>2468</v>
      </c>
    </row>
    <row r="651" spans="1:2">
      <c r="A651" t="s">
        <v>1152</v>
      </c>
      <c r="B651" t="s">
        <v>322</v>
      </c>
    </row>
    <row r="652" spans="1:2">
      <c r="A652" t="s">
        <v>1153</v>
      </c>
      <c r="B652" t="s">
        <v>323</v>
      </c>
    </row>
    <row r="653" spans="1:2">
      <c r="A653" t="s">
        <v>2723</v>
      </c>
      <c r="B653"/>
    </row>
    <row r="654" spans="1:2">
      <c r="A654" t="s">
        <v>2724</v>
      </c>
      <c r="B654">
        <v>2003026</v>
      </c>
    </row>
    <row r="655" spans="1:2">
      <c r="A655" t="s">
        <v>1154</v>
      </c>
      <c r="B655" t="s">
        <v>85</v>
      </c>
    </row>
    <row r="656" spans="1:2">
      <c r="A656" t="s">
        <v>1155</v>
      </c>
      <c r="B656" t="s">
        <v>324</v>
      </c>
    </row>
    <row r="657" spans="1:2">
      <c r="A657" t="s">
        <v>1157</v>
      </c>
      <c r="B657" t="s">
        <v>472</v>
      </c>
    </row>
    <row r="658" spans="1:2">
      <c r="A658" t="s">
        <v>1156</v>
      </c>
      <c r="B658" t="s">
        <v>2469</v>
      </c>
    </row>
    <row r="659" spans="1:2">
      <c r="A659" t="s">
        <v>1158</v>
      </c>
      <c r="B659" t="s">
        <v>326</v>
      </c>
    </row>
    <row r="660" spans="1:2">
      <c r="A660" t="s">
        <v>1159</v>
      </c>
      <c r="B660" t="s">
        <v>327</v>
      </c>
    </row>
    <row r="661" spans="1:2">
      <c r="A661" t="s">
        <v>2725</v>
      </c>
      <c r="B661"/>
    </row>
    <row r="662" spans="1:2">
      <c r="A662" t="s">
        <v>2726</v>
      </c>
      <c r="B662">
        <v>2003027</v>
      </c>
    </row>
    <row r="663" spans="1:2">
      <c r="A663" t="s">
        <v>1160</v>
      </c>
      <c r="B663" t="s">
        <v>86</v>
      </c>
    </row>
    <row r="664" spans="1:2">
      <c r="A664" t="s">
        <v>1161</v>
      </c>
      <c r="B664" t="s">
        <v>328</v>
      </c>
    </row>
    <row r="665" spans="1:2">
      <c r="A665" t="s">
        <v>1163</v>
      </c>
      <c r="B665" t="s">
        <v>473</v>
      </c>
    </row>
    <row r="666" spans="1:2">
      <c r="A666" t="s">
        <v>1162</v>
      </c>
      <c r="B666" t="s">
        <v>2470</v>
      </c>
    </row>
    <row r="667" spans="1:2">
      <c r="A667" t="s">
        <v>1164</v>
      </c>
      <c r="B667" t="s">
        <v>330</v>
      </c>
    </row>
    <row r="668" spans="1:2">
      <c r="A668" t="s">
        <v>1165</v>
      </c>
      <c r="B668" t="s">
        <v>331</v>
      </c>
    </row>
    <row r="669" spans="1:2">
      <c r="A669" t="s">
        <v>2727</v>
      </c>
      <c r="B669"/>
    </row>
    <row r="670" spans="1:2">
      <c r="A670" t="s">
        <v>2728</v>
      </c>
      <c r="B670">
        <v>2003028</v>
      </c>
    </row>
    <row r="671" spans="1:2">
      <c r="A671" t="s">
        <v>1166</v>
      </c>
      <c r="B671" t="s">
        <v>98</v>
      </c>
    </row>
    <row r="672" spans="1:2">
      <c r="A672" t="s">
        <v>1167</v>
      </c>
      <c r="B672" t="s">
        <v>376</v>
      </c>
    </row>
    <row r="673" spans="1:2">
      <c r="A673" t="s">
        <v>1169</v>
      </c>
      <c r="B673" t="s">
        <v>485</v>
      </c>
    </row>
    <row r="674" spans="1:2">
      <c r="A674" t="s">
        <v>1168</v>
      </c>
      <c r="B674" t="s">
        <v>2481</v>
      </c>
    </row>
    <row r="675" spans="1:2">
      <c r="A675" t="s">
        <v>1170</v>
      </c>
      <c r="B675" t="s">
        <v>378</v>
      </c>
    </row>
    <row r="676" spans="1:2">
      <c r="A676" t="s">
        <v>1171</v>
      </c>
      <c r="B676" t="s">
        <v>379</v>
      </c>
    </row>
    <row r="677" spans="1:2">
      <c r="A677" t="s">
        <v>2729</v>
      </c>
      <c r="B677"/>
    </row>
    <row r="678" spans="1:2">
      <c r="A678" t="s">
        <v>2730</v>
      </c>
      <c r="B678">
        <v>2003029</v>
      </c>
    </row>
    <row r="679" spans="1:2">
      <c r="A679" t="s">
        <v>1172</v>
      </c>
      <c r="B679" t="s">
        <v>105</v>
      </c>
    </row>
    <row r="680" spans="1:2">
      <c r="A680" t="s">
        <v>1173</v>
      </c>
      <c r="B680" t="s">
        <v>404</v>
      </c>
    </row>
    <row r="681" spans="1:2">
      <c r="A681" t="s">
        <v>1175</v>
      </c>
      <c r="B681" t="s">
        <v>492</v>
      </c>
    </row>
    <row r="682" spans="1:2">
      <c r="A682" t="s">
        <v>1174</v>
      </c>
      <c r="B682" t="s">
        <v>2487</v>
      </c>
    </row>
    <row r="683" spans="1:2">
      <c r="A683" t="s">
        <v>1176</v>
      </c>
      <c r="B683" t="s">
        <v>406</v>
      </c>
    </row>
    <row r="684" spans="1:2">
      <c r="A684" t="s">
        <v>1177</v>
      </c>
      <c r="B684" t="s">
        <v>407</v>
      </c>
    </row>
    <row r="685" spans="1:2">
      <c r="A685" t="s">
        <v>2731</v>
      </c>
      <c r="B685"/>
    </row>
    <row r="686" spans="1:2">
      <c r="A686" t="s">
        <v>2732</v>
      </c>
      <c r="B686">
        <v>2004031</v>
      </c>
    </row>
    <row r="687" spans="1:2">
      <c r="A687" t="s">
        <v>1178</v>
      </c>
      <c r="B687" t="s">
        <v>69</v>
      </c>
    </row>
    <row r="688" spans="1:2">
      <c r="A688" t="s">
        <v>1179</v>
      </c>
      <c r="B688" t="s">
        <v>253</v>
      </c>
    </row>
    <row r="689" spans="1:2">
      <c r="A689" t="s">
        <v>1181</v>
      </c>
      <c r="B689" t="s">
        <v>3423</v>
      </c>
    </row>
    <row r="690" spans="1:2">
      <c r="A690" t="s">
        <v>1180</v>
      </c>
      <c r="B690" t="s">
        <v>2395</v>
      </c>
    </row>
    <row r="691" spans="1:2">
      <c r="A691" t="s">
        <v>1182</v>
      </c>
      <c r="B691" t="s">
        <v>3558</v>
      </c>
    </row>
    <row r="692" spans="1:2">
      <c r="A692" t="s">
        <v>1183</v>
      </c>
      <c r="B692" t="s">
        <v>256</v>
      </c>
    </row>
    <row r="693" spans="1:2">
      <c r="A693" t="s">
        <v>2733</v>
      </c>
      <c r="B693"/>
    </row>
    <row r="694" spans="1:2">
      <c r="A694" t="s">
        <v>2734</v>
      </c>
      <c r="B694">
        <v>2004032</v>
      </c>
    </row>
    <row r="695" spans="1:2" s="4" customFormat="1">
      <c r="A695" t="s">
        <v>1184</v>
      </c>
      <c r="B695" t="s">
        <v>70</v>
      </c>
    </row>
    <row r="696" spans="1:2" s="4" customFormat="1">
      <c r="A696" t="s">
        <v>1185</v>
      </c>
      <c r="B696" t="s">
        <v>257</v>
      </c>
    </row>
    <row r="697" spans="1:2" s="4" customFormat="1">
      <c r="A697" t="s">
        <v>1187</v>
      </c>
      <c r="B697" t="s">
        <v>456</v>
      </c>
    </row>
    <row r="698" spans="1:2" s="4" customFormat="1">
      <c r="A698" t="s">
        <v>1186</v>
      </c>
      <c r="B698" t="s">
        <v>2398</v>
      </c>
    </row>
    <row r="699" spans="1:2" s="4" customFormat="1">
      <c r="A699" t="s">
        <v>1188</v>
      </c>
      <c r="B699" t="s">
        <v>259</v>
      </c>
    </row>
    <row r="700" spans="1:2" s="4" customFormat="1">
      <c r="A700" t="s">
        <v>1189</v>
      </c>
      <c r="B700" t="s">
        <v>260</v>
      </c>
    </row>
    <row r="701" spans="1:2" s="4" customFormat="1">
      <c r="A701" t="s">
        <v>2735</v>
      </c>
      <c r="B701"/>
    </row>
    <row r="702" spans="1:2" s="4" customFormat="1">
      <c r="A702" t="s">
        <v>2736</v>
      </c>
      <c r="B702">
        <v>2004033</v>
      </c>
    </row>
    <row r="703" spans="1:2" s="4" customFormat="1">
      <c r="A703" t="s">
        <v>1190</v>
      </c>
      <c r="B703" t="s">
        <v>99</v>
      </c>
    </row>
    <row r="704" spans="1:2" s="4" customFormat="1">
      <c r="A704" t="s">
        <v>1191</v>
      </c>
      <c r="B704" t="s">
        <v>380</v>
      </c>
    </row>
    <row r="705" spans="1:2" s="4" customFormat="1">
      <c r="A705" t="s">
        <v>1193</v>
      </c>
      <c r="B705" t="s">
        <v>486</v>
      </c>
    </row>
    <row r="706" spans="1:2" s="4" customFormat="1">
      <c r="A706" t="s">
        <v>1192</v>
      </c>
      <c r="B706" t="s">
        <v>2482</v>
      </c>
    </row>
    <row r="707" spans="1:2" s="4" customFormat="1">
      <c r="A707" t="s">
        <v>1194</v>
      </c>
      <c r="B707" t="s">
        <v>382</v>
      </c>
    </row>
    <row r="708" spans="1:2" s="4" customFormat="1">
      <c r="A708" t="s">
        <v>1195</v>
      </c>
      <c r="B708" t="s">
        <v>383</v>
      </c>
    </row>
    <row r="709" spans="1:2" s="4" customFormat="1">
      <c r="A709" t="s">
        <v>2737</v>
      </c>
      <c r="B709"/>
    </row>
    <row r="710" spans="1:2" s="4" customFormat="1">
      <c r="A710" t="s">
        <v>2738</v>
      </c>
      <c r="B710">
        <v>2004036</v>
      </c>
    </row>
    <row r="711" spans="1:2" s="4" customFormat="1">
      <c r="A711" t="s">
        <v>1196</v>
      </c>
      <c r="B711" t="s">
        <v>97</v>
      </c>
    </row>
    <row r="712" spans="1:2" s="4" customFormat="1">
      <c r="A712" t="s">
        <v>1197</v>
      </c>
      <c r="B712" t="s">
        <v>373</v>
      </c>
    </row>
    <row r="713" spans="1:2" s="4" customFormat="1">
      <c r="A713" t="s">
        <v>1199</v>
      </c>
      <c r="B713" t="s">
        <v>484</v>
      </c>
    </row>
    <row r="714" spans="1:2" s="4" customFormat="1">
      <c r="A714" t="s">
        <v>1198</v>
      </c>
      <c r="B714" t="s">
        <v>2480</v>
      </c>
    </row>
    <row r="715" spans="1:2" s="4" customFormat="1">
      <c r="A715" t="s">
        <v>1200</v>
      </c>
      <c r="B715" t="s">
        <v>374</v>
      </c>
    </row>
    <row r="716" spans="1:2" s="4" customFormat="1">
      <c r="A716" t="s">
        <v>1201</v>
      </c>
      <c r="B716" t="s">
        <v>375</v>
      </c>
    </row>
    <row r="717" spans="1:2" s="4" customFormat="1">
      <c r="A717" t="s">
        <v>2739</v>
      </c>
      <c r="B717"/>
    </row>
    <row r="718" spans="1:2" s="4" customFormat="1">
      <c r="A718" t="s">
        <v>2740</v>
      </c>
      <c r="B718">
        <v>2004037</v>
      </c>
    </row>
    <row r="719" spans="1:2" s="4" customFormat="1">
      <c r="A719" t="s">
        <v>1202</v>
      </c>
      <c r="B719" t="s">
        <v>82</v>
      </c>
    </row>
    <row r="720" spans="1:2" s="4" customFormat="1">
      <c r="A720" t="s">
        <v>1203</v>
      </c>
      <c r="B720" t="s">
        <v>312</v>
      </c>
    </row>
    <row r="721" spans="1:2" s="4" customFormat="1">
      <c r="A721" t="s">
        <v>1205</v>
      </c>
      <c r="B721" t="s">
        <v>469</v>
      </c>
    </row>
    <row r="722" spans="1:2" s="4" customFormat="1">
      <c r="A722" t="s">
        <v>1204</v>
      </c>
      <c r="B722" t="s">
        <v>2466</v>
      </c>
    </row>
    <row r="723" spans="1:2" s="4" customFormat="1">
      <c r="A723" t="s">
        <v>1206</v>
      </c>
      <c r="B723" t="s">
        <v>314</v>
      </c>
    </row>
    <row r="724" spans="1:2" s="4" customFormat="1">
      <c r="A724" t="s">
        <v>1207</v>
      </c>
      <c r="B724" t="s">
        <v>315</v>
      </c>
    </row>
    <row r="725" spans="1:2" s="4" customFormat="1">
      <c r="A725" t="s">
        <v>2741</v>
      </c>
      <c r="B725"/>
    </row>
    <row r="726" spans="1:2" s="4" customFormat="1">
      <c r="A726" t="s">
        <v>2742</v>
      </c>
      <c r="B726">
        <v>2005042</v>
      </c>
    </row>
    <row r="727" spans="1:2" s="4" customFormat="1">
      <c r="A727" t="s">
        <v>1208</v>
      </c>
      <c r="B727" t="s">
        <v>92</v>
      </c>
    </row>
    <row r="728" spans="1:2" s="4" customFormat="1">
      <c r="A728" t="s">
        <v>1209</v>
      </c>
      <c r="B728" t="s">
        <v>351</v>
      </c>
    </row>
    <row r="729" spans="1:2" s="4" customFormat="1">
      <c r="A729" t="s">
        <v>1211</v>
      </c>
      <c r="B729" t="s">
        <v>479</v>
      </c>
    </row>
    <row r="730" spans="1:2" s="4" customFormat="1">
      <c r="A730" t="s">
        <v>1210</v>
      </c>
      <c r="B730" t="s">
        <v>2475</v>
      </c>
    </row>
    <row r="731" spans="1:2" s="4" customFormat="1">
      <c r="A731" t="s">
        <v>1212</v>
      </c>
      <c r="B731" t="s">
        <v>353</v>
      </c>
    </row>
    <row r="732" spans="1:2" s="4" customFormat="1">
      <c r="A732" t="s">
        <v>1213</v>
      </c>
      <c r="B732" t="s">
        <v>354</v>
      </c>
    </row>
    <row r="733" spans="1:2" s="4" customFormat="1">
      <c r="A733" t="s">
        <v>2743</v>
      </c>
      <c r="B733"/>
    </row>
    <row r="734" spans="1:2" s="4" customFormat="1">
      <c r="A734" t="s">
        <v>2744</v>
      </c>
      <c r="B734">
        <v>2005043</v>
      </c>
    </row>
    <row r="735" spans="1:2" s="4" customFormat="1">
      <c r="A735" t="s">
        <v>659</v>
      </c>
      <c r="B735" t="s">
        <v>108</v>
      </c>
    </row>
    <row r="736" spans="1:2" s="4" customFormat="1">
      <c r="A736" t="s">
        <v>660</v>
      </c>
      <c r="B736" t="s">
        <v>164</v>
      </c>
    </row>
    <row r="737" spans="1:2" s="4" customFormat="1">
      <c r="A737" t="s">
        <v>2295</v>
      </c>
      <c r="B737" t="s">
        <v>2296</v>
      </c>
    </row>
    <row r="738" spans="1:2" s="4" customFormat="1">
      <c r="A738" t="s">
        <v>741</v>
      </c>
      <c r="B738" t="s">
        <v>109</v>
      </c>
    </row>
    <row r="739" spans="1:2" s="4" customFormat="1">
      <c r="A739" t="s">
        <v>742</v>
      </c>
      <c r="B739" t="s">
        <v>165</v>
      </c>
    </row>
    <row r="740" spans="1:2" s="4" customFormat="1">
      <c r="A740" t="s">
        <v>2297</v>
      </c>
      <c r="B740" t="s">
        <v>2298</v>
      </c>
    </row>
    <row r="741" spans="1:2" s="4" customFormat="1">
      <c r="A741" t="s">
        <v>743</v>
      </c>
      <c r="B741" t="s">
        <v>110</v>
      </c>
    </row>
    <row r="742" spans="1:2" s="4" customFormat="1">
      <c r="A742" t="s">
        <v>744</v>
      </c>
      <c r="B742" t="s">
        <v>166</v>
      </c>
    </row>
    <row r="743" spans="1:2" s="4" customFormat="1">
      <c r="A743" t="s">
        <v>2299</v>
      </c>
      <c r="B743" t="s">
        <v>2300</v>
      </c>
    </row>
    <row r="744" spans="1:2" s="4" customFormat="1">
      <c r="A744" t="s">
        <v>745</v>
      </c>
      <c r="B744" t="s">
        <v>111</v>
      </c>
    </row>
    <row r="745" spans="1:2" s="4" customFormat="1">
      <c r="A745" t="s">
        <v>746</v>
      </c>
      <c r="B745" t="s">
        <v>167</v>
      </c>
    </row>
    <row r="746" spans="1:2" s="4" customFormat="1">
      <c r="A746" t="s">
        <v>2301</v>
      </c>
      <c r="B746" t="s">
        <v>2302</v>
      </c>
    </row>
    <row r="747" spans="1:2" s="4" customFormat="1">
      <c r="A747" t="s">
        <v>747</v>
      </c>
      <c r="B747" t="s">
        <v>112</v>
      </c>
    </row>
    <row r="748" spans="1:2" s="4" customFormat="1">
      <c r="A748" t="s">
        <v>748</v>
      </c>
      <c r="B748" t="s">
        <v>168</v>
      </c>
    </row>
    <row r="749" spans="1:2" s="4" customFormat="1">
      <c r="A749" t="s">
        <v>2303</v>
      </c>
      <c r="B749" t="s">
        <v>2304</v>
      </c>
    </row>
    <row r="750" spans="1:2" s="4" customFormat="1">
      <c r="A750" t="s">
        <v>749</v>
      </c>
      <c r="B750" t="s">
        <v>129</v>
      </c>
    </row>
    <row r="751" spans="1:2" s="4" customFormat="1">
      <c r="A751" t="s">
        <v>750</v>
      </c>
      <c r="B751" t="s">
        <v>169</v>
      </c>
    </row>
    <row r="752" spans="1:2" s="4" customFormat="1">
      <c r="A752" t="s">
        <v>2305</v>
      </c>
      <c r="B752" t="s">
        <v>2306</v>
      </c>
    </row>
    <row r="753" spans="1:2" s="4" customFormat="1">
      <c r="A753" t="s">
        <v>751</v>
      </c>
      <c r="B753" t="s">
        <v>113</v>
      </c>
    </row>
    <row r="754" spans="1:2" s="4" customFormat="1">
      <c r="A754" t="s">
        <v>752</v>
      </c>
      <c r="B754" t="s">
        <v>170</v>
      </c>
    </row>
    <row r="755" spans="1:2" s="4" customFormat="1">
      <c r="A755" t="s">
        <v>2307</v>
      </c>
      <c r="B755" t="s">
        <v>2308</v>
      </c>
    </row>
    <row r="756" spans="1:2" s="4" customFormat="1">
      <c r="A756" t="s">
        <v>753</v>
      </c>
      <c r="B756" t="s">
        <v>114</v>
      </c>
    </row>
    <row r="757" spans="1:2" s="4" customFormat="1">
      <c r="A757" t="s">
        <v>754</v>
      </c>
      <c r="B757" t="s">
        <v>2671</v>
      </c>
    </row>
    <row r="758" spans="1:2" s="4" customFormat="1">
      <c r="A758" t="s">
        <v>2309</v>
      </c>
      <c r="B758" t="s">
        <v>2672</v>
      </c>
    </row>
    <row r="759" spans="1:2" s="4" customFormat="1">
      <c r="A759" t="s">
        <v>755</v>
      </c>
      <c r="B759" t="s">
        <v>115</v>
      </c>
    </row>
    <row r="760" spans="1:2" s="4" customFormat="1">
      <c r="A760" t="s">
        <v>756</v>
      </c>
      <c r="B760" t="s">
        <v>171</v>
      </c>
    </row>
    <row r="761" spans="1:2" s="4" customFormat="1">
      <c r="A761" t="s">
        <v>2310</v>
      </c>
      <c r="B761" t="s">
        <v>2311</v>
      </c>
    </row>
    <row r="762" spans="1:2" s="4" customFormat="1">
      <c r="A762" t="s">
        <v>757</v>
      </c>
      <c r="B762" t="s">
        <v>116</v>
      </c>
    </row>
    <row r="763" spans="1:2" s="4" customFormat="1">
      <c r="A763" t="s">
        <v>758</v>
      </c>
      <c r="B763" t="s">
        <v>172</v>
      </c>
    </row>
    <row r="764" spans="1:2" s="4" customFormat="1">
      <c r="A764" t="s">
        <v>2312</v>
      </c>
      <c r="B764" t="s">
        <v>2313</v>
      </c>
    </row>
    <row r="765" spans="1:2" s="4" customFormat="1">
      <c r="A765" t="s">
        <v>759</v>
      </c>
      <c r="B765" t="s">
        <v>117</v>
      </c>
    </row>
    <row r="766" spans="1:2" s="4" customFormat="1">
      <c r="A766" t="s">
        <v>760</v>
      </c>
      <c r="B766" t="s">
        <v>173</v>
      </c>
    </row>
    <row r="767" spans="1:2" s="4" customFormat="1">
      <c r="A767" t="s">
        <v>2314</v>
      </c>
      <c r="B767" t="s">
        <v>2315</v>
      </c>
    </row>
    <row r="768" spans="1:2" s="4" customFormat="1">
      <c r="A768" t="s">
        <v>761</v>
      </c>
      <c r="B768" t="s">
        <v>118</v>
      </c>
    </row>
    <row r="769" spans="1:2" s="4" customFormat="1">
      <c r="A769" t="s">
        <v>762</v>
      </c>
      <c r="B769" t="s">
        <v>174</v>
      </c>
    </row>
    <row r="770" spans="1:2" s="4" customFormat="1">
      <c r="A770" t="s">
        <v>2316</v>
      </c>
      <c r="B770" t="s">
        <v>2317</v>
      </c>
    </row>
    <row r="771" spans="1:2" s="4" customFormat="1">
      <c r="A771" t="s">
        <v>670</v>
      </c>
      <c r="B771" t="s">
        <v>108</v>
      </c>
    </row>
    <row r="772" spans="1:2" s="4" customFormat="1">
      <c r="A772" t="s">
        <v>671</v>
      </c>
      <c r="B772" t="s">
        <v>435</v>
      </c>
    </row>
    <row r="773" spans="1:2" s="4" customFormat="1">
      <c r="A773" t="s">
        <v>2361</v>
      </c>
      <c r="B773" t="s">
        <v>2362</v>
      </c>
    </row>
    <row r="774" spans="1:2" s="4" customFormat="1">
      <c r="A774" t="s">
        <v>841</v>
      </c>
      <c r="B774" t="s">
        <v>109</v>
      </c>
    </row>
    <row r="775" spans="1:2" s="4" customFormat="1">
      <c r="A775" t="s">
        <v>842</v>
      </c>
      <c r="B775" t="s">
        <v>436</v>
      </c>
    </row>
    <row r="776" spans="1:2" s="4" customFormat="1">
      <c r="A776" t="s">
        <v>2363</v>
      </c>
      <c r="B776" t="s">
        <v>2364</v>
      </c>
    </row>
    <row r="777" spans="1:2" s="4" customFormat="1">
      <c r="A777" t="s">
        <v>843</v>
      </c>
      <c r="B777" t="s">
        <v>110</v>
      </c>
    </row>
    <row r="778" spans="1:2" s="4" customFormat="1">
      <c r="A778" t="s">
        <v>844</v>
      </c>
      <c r="B778" t="s">
        <v>437</v>
      </c>
    </row>
    <row r="779" spans="1:2" s="4" customFormat="1">
      <c r="A779" t="s">
        <v>2365</v>
      </c>
      <c r="B779" t="s">
        <v>2366</v>
      </c>
    </row>
    <row r="780" spans="1:2" s="4" customFormat="1">
      <c r="A780" t="s">
        <v>845</v>
      </c>
      <c r="B780" t="s">
        <v>129</v>
      </c>
    </row>
    <row r="781" spans="1:2" s="4" customFormat="1">
      <c r="A781" t="s">
        <v>846</v>
      </c>
      <c r="B781" t="s">
        <v>438</v>
      </c>
    </row>
    <row r="782" spans="1:2" s="4" customFormat="1">
      <c r="A782" t="s">
        <v>2367</v>
      </c>
      <c r="B782" t="s">
        <v>2368</v>
      </c>
    </row>
    <row r="783" spans="1:2" s="4" customFormat="1">
      <c r="A783" t="s">
        <v>847</v>
      </c>
      <c r="B783" t="s">
        <v>111</v>
      </c>
    </row>
    <row r="784" spans="1:2" s="4" customFormat="1">
      <c r="A784" t="s">
        <v>848</v>
      </c>
      <c r="B784" t="s">
        <v>439</v>
      </c>
    </row>
    <row r="785" spans="1:2" s="4" customFormat="1">
      <c r="A785" t="s">
        <v>2369</v>
      </c>
      <c r="B785" t="s">
        <v>2370</v>
      </c>
    </row>
    <row r="786" spans="1:2" s="4" customFormat="1">
      <c r="A786" t="s">
        <v>849</v>
      </c>
      <c r="B786" t="s">
        <v>112</v>
      </c>
    </row>
    <row r="787" spans="1:2" s="4" customFormat="1">
      <c r="A787" t="s">
        <v>850</v>
      </c>
      <c r="B787" t="s">
        <v>440</v>
      </c>
    </row>
    <row r="788" spans="1:2" s="4" customFormat="1">
      <c r="A788" t="s">
        <v>2371</v>
      </c>
      <c r="B788" t="s">
        <v>2372</v>
      </c>
    </row>
    <row r="789" spans="1:2" s="4" customFormat="1">
      <c r="A789" t="s">
        <v>851</v>
      </c>
      <c r="B789" t="s">
        <v>116</v>
      </c>
    </row>
    <row r="790" spans="1:2" s="4" customFormat="1">
      <c r="A790" t="s">
        <v>852</v>
      </c>
      <c r="B790" t="s">
        <v>441</v>
      </c>
    </row>
    <row r="791" spans="1:2" s="4" customFormat="1">
      <c r="A791" t="s">
        <v>2373</v>
      </c>
      <c r="B791" t="s">
        <v>2374</v>
      </c>
    </row>
    <row r="792" spans="1:2" s="4" customFormat="1">
      <c r="A792" t="s">
        <v>853</v>
      </c>
      <c r="B792" t="s">
        <v>117</v>
      </c>
    </row>
    <row r="793" spans="1:2" s="4" customFormat="1">
      <c r="A793" t="s">
        <v>854</v>
      </c>
      <c r="B793" t="s">
        <v>442</v>
      </c>
    </row>
    <row r="794" spans="1:2" s="4" customFormat="1">
      <c r="A794" t="s">
        <v>2375</v>
      </c>
      <c r="B794" t="s">
        <v>2376</v>
      </c>
    </row>
    <row r="795" spans="1:2" s="4" customFormat="1">
      <c r="A795" t="s">
        <v>855</v>
      </c>
      <c r="B795" t="s">
        <v>113</v>
      </c>
    </row>
    <row r="796" spans="1:2" s="4" customFormat="1">
      <c r="A796" t="s">
        <v>856</v>
      </c>
      <c r="B796" t="s">
        <v>443</v>
      </c>
    </row>
    <row r="797" spans="1:2" s="4" customFormat="1">
      <c r="A797" t="s">
        <v>2377</v>
      </c>
      <c r="B797" t="s">
        <v>2378</v>
      </c>
    </row>
    <row r="798" spans="1:2" s="4" customFormat="1">
      <c r="A798" t="s">
        <v>857</v>
      </c>
      <c r="B798" t="s">
        <v>130</v>
      </c>
    </row>
    <row r="799" spans="1:2" s="4" customFormat="1">
      <c r="A799" t="s">
        <v>858</v>
      </c>
      <c r="B799" t="s">
        <v>444</v>
      </c>
    </row>
    <row r="800" spans="1:2" s="4" customFormat="1">
      <c r="A800" t="s">
        <v>2379</v>
      </c>
      <c r="B800" t="s">
        <v>2380</v>
      </c>
    </row>
    <row r="801" spans="1:2" s="4" customFormat="1">
      <c r="A801" t="s">
        <v>859</v>
      </c>
      <c r="B801" t="s">
        <v>131</v>
      </c>
    </row>
    <row r="802" spans="1:2" s="4" customFormat="1">
      <c r="A802" t="s">
        <v>860</v>
      </c>
      <c r="B802" t="s">
        <v>445</v>
      </c>
    </row>
    <row r="803" spans="1:2" s="4" customFormat="1">
      <c r="A803" t="s">
        <v>2381</v>
      </c>
      <c r="B803" t="s">
        <v>2382</v>
      </c>
    </row>
    <row r="804" spans="1:2" s="4" customFormat="1">
      <c r="A804" t="s">
        <v>861</v>
      </c>
      <c r="B804" t="s">
        <v>118</v>
      </c>
    </row>
    <row r="805" spans="1:2" s="4" customFormat="1">
      <c r="A805" t="s">
        <v>862</v>
      </c>
      <c r="B805" t="s">
        <v>446</v>
      </c>
    </row>
    <row r="806" spans="1:2" s="4" customFormat="1">
      <c r="A806" t="s">
        <v>2383</v>
      </c>
      <c r="B806" t="s">
        <v>2384</v>
      </c>
    </row>
    <row r="807" spans="1:2" s="4" customFormat="1">
      <c r="A807" t="s">
        <v>678</v>
      </c>
      <c r="B807" t="s">
        <v>108</v>
      </c>
    </row>
    <row r="808" spans="1:2" s="4" customFormat="1">
      <c r="A808" t="s">
        <v>679</v>
      </c>
      <c r="B808" t="s">
        <v>2450</v>
      </c>
    </row>
    <row r="809" spans="1:2" s="4" customFormat="1">
      <c r="A809" t="s">
        <v>2451</v>
      </c>
      <c r="B809" t="s">
        <v>2452</v>
      </c>
    </row>
    <row r="810" spans="1:2" s="4" customFormat="1">
      <c r="A810" t="s">
        <v>680</v>
      </c>
      <c r="B810"/>
    </row>
    <row r="811" spans="1:2" s="4" customFormat="1">
      <c r="A811" t="s">
        <v>1013</v>
      </c>
      <c r="B811" t="s">
        <v>109</v>
      </c>
    </row>
    <row r="812" spans="1:2" s="4" customFormat="1">
      <c r="A812" t="s">
        <v>1014</v>
      </c>
      <c r="B812" t="s">
        <v>2453</v>
      </c>
    </row>
    <row r="813" spans="1:2" s="4" customFormat="1">
      <c r="A813" t="s">
        <v>2454</v>
      </c>
      <c r="B813" t="s">
        <v>2455</v>
      </c>
    </row>
    <row r="814" spans="1:2" s="4" customFormat="1">
      <c r="A814" t="s">
        <v>1015</v>
      </c>
      <c r="B814"/>
    </row>
    <row r="815" spans="1:2" s="4" customFormat="1">
      <c r="A815" t="s">
        <v>1016</v>
      </c>
      <c r="B815" t="s">
        <v>110</v>
      </c>
    </row>
    <row r="816" spans="1:2" s="4" customFormat="1">
      <c r="A816" t="s">
        <v>1017</v>
      </c>
      <c r="B816" t="s">
        <v>2456</v>
      </c>
    </row>
    <row r="817" spans="1:2" s="4" customFormat="1">
      <c r="A817" t="s">
        <v>2457</v>
      </c>
      <c r="B817" t="s">
        <v>2458</v>
      </c>
    </row>
    <row r="818" spans="1:2" s="4" customFormat="1">
      <c r="A818" t="s">
        <v>1018</v>
      </c>
      <c r="B818"/>
    </row>
    <row r="819" spans="1:2" s="4" customFormat="1">
      <c r="A819" t="s">
        <v>1019</v>
      </c>
      <c r="B819" t="s">
        <v>113</v>
      </c>
    </row>
    <row r="820" spans="1:2" s="4" customFormat="1">
      <c r="A820" t="s">
        <v>1020</v>
      </c>
      <c r="B820" t="s">
        <v>2459</v>
      </c>
    </row>
    <row r="821" spans="1:2" s="4" customFormat="1">
      <c r="A821" t="s">
        <v>2460</v>
      </c>
      <c r="B821" t="s">
        <v>2461</v>
      </c>
    </row>
    <row r="822" spans="1:2" s="4" customFormat="1">
      <c r="A822" t="s">
        <v>1021</v>
      </c>
      <c r="B822"/>
    </row>
    <row r="823" spans="1:2" s="4" customFormat="1">
      <c r="A823" t="s">
        <v>1022</v>
      </c>
      <c r="B823" t="s">
        <v>158</v>
      </c>
    </row>
    <row r="824" spans="1:2" s="4" customFormat="1">
      <c r="A824" t="s">
        <v>1023</v>
      </c>
      <c r="B824" t="s">
        <v>2462</v>
      </c>
    </row>
    <row r="825" spans="1:2" s="4" customFormat="1">
      <c r="A825" t="s">
        <v>2463</v>
      </c>
      <c r="B825" t="s">
        <v>467</v>
      </c>
    </row>
    <row r="826" spans="1:2" s="4" customFormat="1">
      <c r="A826" t="s">
        <v>1024</v>
      </c>
      <c r="B826"/>
    </row>
    <row r="827" spans="1:2" s="4" customFormat="1">
      <c r="A827" t="s">
        <v>1025</v>
      </c>
      <c r="B827" t="s">
        <v>159</v>
      </c>
    </row>
    <row r="828" spans="1:2" s="4" customFormat="1">
      <c r="A828" t="s">
        <v>1026</v>
      </c>
      <c r="B828" t="s">
        <v>2464</v>
      </c>
    </row>
    <row r="829" spans="1:2" s="4" customFormat="1">
      <c r="A829" t="s">
        <v>2465</v>
      </c>
      <c r="B829" t="s">
        <v>468</v>
      </c>
    </row>
    <row r="830" spans="1:2" s="4" customFormat="1">
      <c r="A830" t="s">
        <v>1027</v>
      </c>
      <c r="B830"/>
    </row>
    <row r="831" spans="1:2" s="4" customFormat="1">
      <c r="A831" t="s">
        <v>3287</v>
      </c>
      <c r="B831" t="s">
        <v>3244</v>
      </c>
    </row>
    <row r="832" spans="1:2" s="4" customFormat="1">
      <c r="A832" t="s">
        <v>3288</v>
      </c>
      <c r="B832" t="s">
        <v>3266</v>
      </c>
    </row>
    <row r="833" spans="1:2" s="4" customFormat="1">
      <c r="A833" t="s">
        <v>3289</v>
      </c>
      <c r="B833" t="s">
        <v>3253</v>
      </c>
    </row>
    <row r="834" spans="1:2" s="4" customFormat="1">
      <c r="A834" t="s">
        <v>3290</v>
      </c>
      <c r="B834"/>
    </row>
    <row r="835" spans="1:2" s="4" customFormat="1">
      <c r="A835" t="s">
        <v>3291</v>
      </c>
      <c r="B835" t="s">
        <v>3245</v>
      </c>
    </row>
    <row r="836" spans="1:2" s="4" customFormat="1">
      <c r="A836" t="s">
        <v>3292</v>
      </c>
      <c r="B836" t="s">
        <v>3268</v>
      </c>
    </row>
    <row r="837" spans="1:2" s="4" customFormat="1">
      <c r="A837" t="s">
        <v>3293</v>
      </c>
      <c r="B837" t="s">
        <v>3254</v>
      </c>
    </row>
    <row r="838" spans="1:2" s="4" customFormat="1">
      <c r="A838" t="s">
        <v>3294</v>
      </c>
      <c r="B838"/>
    </row>
    <row r="839" spans="1:2" s="4" customFormat="1">
      <c r="A839" t="s">
        <v>3295</v>
      </c>
      <c r="B839" t="s">
        <v>3246</v>
      </c>
    </row>
    <row r="840" spans="1:2" s="4" customFormat="1">
      <c r="A840" t="s">
        <v>3296</v>
      </c>
      <c r="B840" t="s">
        <v>3270</v>
      </c>
    </row>
    <row r="841" spans="1:2" s="4" customFormat="1">
      <c r="A841" t="s">
        <v>3297</v>
      </c>
      <c r="B841" t="s">
        <v>3255</v>
      </c>
    </row>
    <row r="842" spans="1:2" s="4" customFormat="1">
      <c r="A842" t="s">
        <v>3298</v>
      </c>
      <c r="B842"/>
    </row>
    <row r="843" spans="1:2" s="4" customFormat="1">
      <c r="A843" t="s">
        <v>3299</v>
      </c>
      <c r="B843" t="s">
        <v>3241</v>
      </c>
    </row>
    <row r="844" spans="1:2" s="4" customFormat="1">
      <c r="A844" t="s">
        <v>3300</v>
      </c>
      <c r="B844" t="s">
        <v>3242</v>
      </c>
    </row>
    <row r="845" spans="1:2" s="4" customFormat="1">
      <c r="A845" t="s">
        <v>3301</v>
      </c>
      <c r="B845" t="s">
        <v>3256</v>
      </c>
    </row>
    <row r="846" spans="1:2" s="4" customFormat="1">
      <c r="A846" t="s">
        <v>3302</v>
      </c>
      <c r="B846"/>
    </row>
    <row r="847" spans="1:2" s="4" customFormat="1">
      <c r="A847" t="s">
        <v>3303</v>
      </c>
      <c r="B847" t="s">
        <v>116</v>
      </c>
    </row>
    <row r="848" spans="1:2" s="4" customFormat="1">
      <c r="A848" t="s">
        <v>3304</v>
      </c>
      <c r="B848" t="s">
        <v>3273</v>
      </c>
    </row>
    <row r="849" spans="1:2" s="4" customFormat="1">
      <c r="A849" t="s">
        <v>3305</v>
      </c>
      <c r="B849" t="s">
        <v>3257</v>
      </c>
    </row>
    <row r="850" spans="1:2" s="4" customFormat="1">
      <c r="A850" t="s">
        <v>3306</v>
      </c>
      <c r="B850"/>
    </row>
    <row r="851" spans="1:2" s="4" customFormat="1">
      <c r="A851" t="s">
        <v>3307</v>
      </c>
      <c r="B851" t="s">
        <v>3247</v>
      </c>
    </row>
    <row r="852" spans="1:2" s="4" customFormat="1">
      <c r="A852" t="s">
        <v>3308</v>
      </c>
      <c r="B852" t="s">
        <v>3275</v>
      </c>
    </row>
    <row r="853" spans="1:2" s="4" customFormat="1">
      <c r="A853" t="s">
        <v>3309</v>
      </c>
      <c r="B853" t="s">
        <v>3258</v>
      </c>
    </row>
    <row r="854" spans="1:2" s="4" customFormat="1">
      <c r="A854" t="s">
        <v>3310</v>
      </c>
      <c r="B854"/>
    </row>
    <row r="855" spans="1:2" s="4" customFormat="1">
      <c r="A855" t="s">
        <v>3311</v>
      </c>
      <c r="B855" t="s">
        <v>3248</v>
      </c>
    </row>
    <row r="856" spans="1:2" s="4" customFormat="1">
      <c r="A856" t="s">
        <v>3312</v>
      </c>
      <c r="B856" t="s">
        <v>3277</v>
      </c>
    </row>
    <row r="857" spans="1:2" s="4" customFormat="1">
      <c r="A857" t="s">
        <v>3313</v>
      </c>
      <c r="B857" t="s">
        <v>3259</v>
      </c>
    </row>
    <row r="858" spans="1:2" s="4" customFormat="1">
      <c r="A858" t="s">
        <v>3314</v>
      </c>
      <c r="B858"/>
    </row>
    <row r="859" spans="1:2" s="4" customFormat="1">
      <c r="A859" t="s">
        <v>3315</v>
      </c>
      <c r="B859" t="s">
        <v>3249</v>
      </c>
    </row>
    <row r="860" spans="1:2" s="4" customFormat="1">
      <c r="A860" t="s">
        <v>3316</v>
      </c>
      <c r="B860" t="s">
        <v>3279</v>
      </c>
    </row>
    <row r="861" spans="1:2" s="4" customFormat="1">
      <c r="A861" t="s">
        <v>3317</v>
      </c>
      <c r="B861" t="s">
        <v>3260</v>
      </c>
    </row>
    <row r="862" spans="1:2" s="4" customFormat="1">
      <c r="A862" t="s">
        <v>3318</v>
      </c>
      <c r="B862"/>
    </row>
    <row r="863" spans="1:2" s="4" customFormat="1">
      <c r="A863" t="s">
        <v>3319</v>
      </c>
      <c r="B863" t="s">
        <v>3250</v>
      </c>
    </row>
    <row r="864" spans="1:2" s="4" customFormat="1">
      <c r="A864" t="s">
        <v>3320</v>
      </c>
      <c r="B864" t="s">
        <v>3281</v>
      </c>
    </row>
    <row r="865" spans="1:2" s="4" customFormat="1">
      <c r="A865" t="s">
        <v>3321</v>
      </c>
      <c r="B865" t="s">
        <v>3261</v>
      </c>
    </row>
    <row r="866" spans="1:2" s="4" customFormat="1">
      <c r="A866" t="s">
        <v>3322</v>
      </c>
      <c r="B866"/>
    </row>
    <row r="867" spans="1:2" s="4" customFormat="1">
      <c r="A867" t="s">
        <v>3323</v>
      </c>
      <c r="B867" t="s">
        <v>3251</v>
      </c>
    </row>
    <row r="868" spans="1:2" s="4" customFormat="1">
      <c r="A868" t="s">
        <v>3324</v>
      </c>
      <c r="B868" t="s">
        <v>3283</v>
      </c>
    </row>
    <row r="869" spans="1:2" s="4" customFormat="1">
      <c r="A869" t="s">
        <v>3325</v>
      </c>
      <c r="B869" t="s">
        <v>3262</v>
      </c>
    </row>
    <row r="870" spans="1:2" s="4" customFormat="1">
      <c r="A870" t="s">
        <v>3326</v>
      </c>
      <c r="B870"/>
    </row>
    <row r="871" spans="1:2" s="4" customFormat="1">
      <c r="A871" t="s">
        <v>3327</v>
      </c>
      <c r="B871" t="s">
        <v>3252</v>
      </c>
    </row>
    <row r="872" spans="1:2" s="4" customFormat="1">
      <c r="A872" t="s">
        <v>3328</v>
      </c>
      <c r="B872" t="s">
        <v>3285</v>
      </c>
    </row>
    <row r="873" spans="1:2" s="4" customFormat="1">
      <c r="A873" t="s">
        <v>3329</v>
      </c>
      <c r="B873" t="s">
        <v>3263</v>
      </c>
    </row>
    <row r="874" spans="1:2" s="4" customFormat="1">
      <c r="A874" t="s">
        <v>3330</v>
      </c>
      <c r="B874"/>
    </row>
    <row r="875" spans="1:2" s="4" customFormat="1">
      <c r="A875" t="s">
        <v>2745</v>
      </c>
      <c r="B875" t="s">
        <v>108</v>
      </c>
    </row>
    <row r="876" spans="1:2" s="4" customFormat="1">
      <c r="A876" t="s">
        <v>2746</v>
      </c>
      <c r="B876" t="s">
        <v>164</v>
      </c>
    </row>
    <row r="877" spans="1:2" s="4" customFormat="1">
      <c r="A877" t="s">
        <v>2747</v>
      </c>
      <c r="B877" t="s">
        <v>109</v>
      </c>
    </row>
    <row r="878" spans="1:2" s="4" customFormat="1">
      <c r="A878" t="s">
        <v>2748</v>
      </c>
      <c r="B878" t="s">
        <v>165</v>
      </c>
    </row>
    <row r="879" spans="1:2" s="4" customFormat="1">
      <c r="A879" t="s">
        <v>2749</v>
      </c>
      <c r="B879" t="s">
        <v>110</v>
      </c>
    </row>
    <row r="880" spans="1:2" s="4" customFormat="1">
      <c r="A880" t="s">
        <v>2750</v>
      </c>
      <c r="B880" t="s">
        <v>166</v>
      </c>
    </row>
    <row r="881" spans="1:2" s="4" customFormat="1">
      <c r="A881" t="s">
        <v>2751</v>
      </c>
      <c r="B881" t="s">
        <v>111</v>
      </c>
    </row>
    <row r="882" spans="1:2" s="4" customFormat="1">
      <c r="A882" t="s">
        <v>2752</v>
      </c>
      <c r="B882" t="s">
        <v>167</v>
      </c>
    </row>
    <row r="883" spans="1:2" s="4" customFormat="1">
      <c r="A883" t="s">
        <v>2753</v>
      </c>
      <c r="B883" t="s">
        <v>112</v>
      </c>
    </row>
    <row r="884" spans="1:2" s="4" customFormat="1">
      <c r="A884" t="s">
        <v>2754</v>
      </c>
      <c r="B884" t="s">
        <v>168</v>
      </c>
    </row>
    <row r="885" spans="1:2" s="4" customFormat="1">
      <c r="A885" t="s">
        <v>2755</v>
      </c>
      <c r="B885" t="s">
        <v>129</v>
      </c>
    </row>
    <row r="886" spans="1:2" s="4" customFormat="1">
      <c r="A886" t="s">
        <v>2756</v>
      </c>
      <c r="B886" t="s">
        <v>169</v>
      </c>
    </row>
    <row r="887" spans="1:2" s="4" customFormat="1">
      <c r="A887" t="s">
        <v>2757</v>
      </c>
      <c r="B887" t="s">
        <v>113</v>
      </c>
    </row>
    <row r="888" spans="1:2" s="4" customFormat="1">
      <c r="A888" t="s">
        <v>2758</v>
      </c>
      <c r="B888" t="s">
        <v>170</v>
      </c>
    </row>
    <row r="889" spans="1:2" s="4" customFormat="1">
      <c r="A889" t="s">
        <v>2759</v>
      </c>
      <c r="B889" t="s">
        <v>114</v>
      </c>
    </row>
    <row r="890" spans="1:2" s="4" customFormat="1">
      <c r="A890" t="s">
        <v>2760</v>
      </c>
      <c r="B890" t="s">
        <v>2671</v>
      </c>
    </row>
    <row r="891" spans="1:2" s="4" customFormat="1">
      <c r="A891" t="s">
        <v>2761</v>
      </c>
      <c r="B891" t="s">
        <v>115</v>
      </c>
    </row>
    <row r="892" spans="1:2" s="4" customFormat="1">
      <c r="A892" t="s">
        <v>2762</v>
      </c>
      <c r="B892" t="s">
        <v>171</v>
      </c>
    </row>
    <row r="893" spans="1:2" s="4" customFormat="1">
      <c r="A893" t="s">
        <v>2763</v>
      </c>
      <c r="B893" t="s">
        <v>116</v>
      </c>
    </row>
    <row r="894" spans="1:2" s="4" customFormat="1">
      <c r="A894" t="s">
        <v>2764</v>
      </c>
      <c r="B894" t="s">
        <v>172</v>
      </c>
    </row>
    <row r="895" spans="1:2" s="4" customFormat="1">
      <c r="A895" t="s">
        <v>2765</v>
      </c>
      <c r="B895" t="s">
        <v>117</v>
      </c>
    </row>
    <row r="896" spans="1:2" s="4" customFormat="1">
      <c r="A896" t="s">
        <v>2766</v>
      </c>
      <c r="B896" t="s">
        <v>173</v>
      </c>
    </row>
    <row r="897" spans="1:2" s="4" customFormat="1">
      <c r="A897" t="s">
        <v>2767</v>
      </c>
      <c r="B897" t="s">
        <v>118</v>
      </c>
    </row>
    <row r="898" spans="1:2" s="4" customFormat="1">
      <c r="A898" t="s">
        <v>2768</v>
      </c>
      <c r="B898" t="s">
        <v>174</v>
      </c>
    </row>
    <row r="899" spans="1:2" s="4" customFormat="1">
      <c r="A899" t="s">
        <v>2831</v>
      </c>
      <c r="B899" t="s">
        <v>108</v>
      </c>
    </row>
    <row r="900" spans="1:2" s="4" customFormat="1">
      <c r="A900" t="s">
        <v>2832</v>
      </c>
      <c r="B900" t="s">
        <v>435</v>
      </c>
    </row>
    <row r="901" spans="1:2" s="4" customFormat="1">
      <c r="A901" t="s">
        <v>2833</v>
      </c>
      <c r="B901" t="s">
        <v>109</v>
      </c>
    </row>
    <row r="902" spans="1:2" s="4" customFormat="1">
      <c r="A902" t="s">
        <v>2834</v>
      </c>
      <c r="B902" t="s">
        <v>436</v>
      </c>
    </row>
    <row r="903" spans="1:2" s="4" customFormat="1">
      <c r="A903" t="s">
        <v>2835</v>
      </c>
      <c r="B903" t="s">
        <v>110</v>
      </c>
    </row>
    <row r="904" spans="1:2" s="4" customFormat="1">
      <c r="A904" t="s">
        <v>2836</v>
      </c>
      <c r="B904" t="s">
        <v>437</v>
      </c>
    </row>
    <row r="905" spans="1:2" s="4" customFormat="1">
      <c r="A905" t="s">
        <v>2837</v>
      </c>
      <c r="B905" t="s">
        <v>129</v>
      </c>
    </row>
    <row r="906" spans="1:2" s="4" customFormat="1">
      <c r="A906" t="s">
        <v>2838</v>
      </c>
      <c r="B906" t="s">
        <v>438</v>
      </c>
    </row>
    <row r="907" spans="1:2" s="4" customFormat="1">
      <c r="A907" t="s">
        <v>2839</v>
      </c>
      <c r="B907" t="s">
        <v>111</v>
      </c>
    </row>
    <row r="908" spans="1:2" s="4" customFormat="1">
      <c r="A908" t="s">
        <v>2840</v>
      </c>
      <c r="B908" t="s">
        <v>439</v>
      </c>
    </row>
    <row r="909" spans="1:2" s="4" customFormat="1">
      <c r="A909" t="s">
        <v>2841</v>
      </c>
      <c r="B909" t="s">
        <v>112</v>
      </c>
    </row>
    <row r="910" spans="1:2" s="4" customFormat="1">
      <c r="A910" t="s">
        <v>2842</v>
      </c>
      <c r="B910" t="s">
        <v>440</v>
      </c>
    </row>
    <row r="911" spans="1:2" s="4" customFormat="1">
      <c r="A911" t="s">
        <v>2843</v>
      </c>
      <c r="B911" t="s">
        <v>116</v>
      </c>
    </row>
    <row r="912" spans="1:2" s="4" customFormat="1">
      <c r="A912" t="s">
        <v>2844</v>
      </c>
      <c r="B912" t="s">
        <v>441</v>
      </c>
    </row>
    <row r="913" spans="1:2" s="4" customFormat="1">
      <c r="A913" t="s">
        <v>2845</v>
      </c>
      <c r="B913" t="s">
        <v>117</v>
      </c>
    </row>
    <row r="914" spans="1:2" s="4" customFormat="1">
      <c r="A914" t="s">
        <v>2846</v>
      </c>
      <c r="B914" t="s">
        <v>442</v>
      </c>
    </row>
    <row r="915" spans="1:2" s="4" customFormat="1">
      <c r="A915" t="s">
        <v>2847</v>
      </c>
      <c r="B915" t="s">
        <v>113</v>
      </c>
    </row>
    <row r="916" spans="1:2" s="4" customFormat="1">
      <c r="A916" t="s">
        <v>2848</v>
      </c>
      <c r="B916" t="s">
        <v>443</v>
      </c>
    </row>
    <row r="917" spans="1:2" s="4" customFormat="1">
      <c r="A917" t="s">
        <v>2849</v>
      </c>
      <c r="B917" t="s">
        <v>130</v>
      </c>
    </row>
    <row r="918" spans="1:2" s="4" customFormat="1">
      <c r="A918" t="s">
        <v>2850</v>
      </c>
      <c r="B918" t="s">
        <v>444</v>
      </c>
    </row>
    <row r="919" spans="1:2" s="4" customFormat="1">
      <c r="A919" t="s">
        <v>2851</v>
      </c>
      <c r="B919" t="s">
        <v>131</v>
      </c>
    </row>
    <row r="920" spans="1:2" s="4" customFormat="1">
      <c r="A920" t="s">
        <v>2852</v>
      </c>
      <c r="B920" t="s">
        <v>445</v>
      </c>
    </row>
    <row r="921" spans="1:2" s="4" customFormat="1">
      <c r="A921" t="s">
        <v>2853</v>
      </c>
      <c r="B921" t="s">
        <v>118</v>
      </c>
    </row>
    <row r="922" spans="1:2" s="4" customFormat="1">
      <c r="A922" t="s">
        <v>2854</v>
      </c>
      <c r="B922" t="s">
        <v>446</v>
      </c>
    </row>
    <row r="923" spans="1:2" s="4" customFormat="1">
      <c r="A923" t="s">
        <v>2919</v>
      </c>
      <c r="B923" t="s">
        <v>108</v>
      </c>
    </row>
    <row r="924" spans="1:2" s="4" customFormat="1">
      <c r="A924" t="s">
        <v>2920</v>
      </c>
      <c r="B924" t="s">
        <v>2450</v>
      </c>
    </row>
    <row r="925" spans="1:2" s="4" customFormat="1">
      <c r="A925" t="s">
        <v>2921</v>
      </c>
      <c r="B925" t="s">
        <v>109</v>
      </c>
    </row>
    <row r="926" spans="1:2" s="4" customFormat="1">
      <c r="A926" t="s">
        <v>2922</v>
      </c>
      <c r="B926" t="s">
        <v>2453</v>
      </c>
    </row>
    <row r="927" spans="1:2" s="4" customFormat="1">
      <c r="A927" t="s">
        <v>2923</v>
      </c>
      <c r="B927" t="s">
        <v>110</v>
      </c>
    </row>
    <row r="928" spans="1:2" s="4" customFormat="1">
      <c r="A928" t="s">
        <v>2924</v>
      </c>
      <c r="B928" t="s">
        <v>2456</v>
      </c>
    </row>
    <row r="929" spans="1:2" s="4" customFormat="1">
      <c r="A929" t="s">
        <v>2925</v>
      </c>
      <c r="B929" t="s">
        <v>113</v>
      </c>
    </row>
    <row r="930" spans="1:2" s="4" customFormat="1">
      <c r="A930" t="s">
        <v>2926</v>
      </c>
      <c r="B930" t="s">
        <v>2459</v>
      </c>
    </row>
    <row r="931" spans="1:2" s="4" customFormat="1">
      <c r="A931" t="s">
        <v>2927</v>
      </c>
      <c r="B931" t="s">
        <v>158</v>
      </c>
    </row>
    <row r="932" spans="1:2" s="4" customFormat="1">
      <c r="A932" t="s">
        <v>2928</v>
      </c>
      <c r="B932" t="s">
        <v>2462</v>
      </c>
    </row>
    <row r="933" spans="1:2" s="4" customFormat="1">
      <c r="A933" t="s">
        <v>2929</v>
      </c>
      <c r="B933" t="s">
        <v>159</v>
      </c>
    </row>
    <row r="934" spans="1:2" s="4" customFormat="1">
      <c r="A934" t="s">
        <v>2930</v>
      </c>
      <c r="B934" t="s">
        <v>2464</v>
      </c>
    </row>
    <row r="935" spans="1:2" s="4" customFormat="1">
      <c r="A935" t="s">
        <v>3445</v>
      </c>
      <c r="B935" t="s">
        <v>111</v>
      </c>
    </row>
    <row r="936" spans="1:2" s="4" customFormat="1">
      <c r="A936" t="s">
        <v>3446</v>
      </c>
      <c r="B936" t="s">
        <v>3425</v>
      </c>
    </row>
    <row r="937" spans="1:2" s="4" customFormat="1">
      <c r="A937" t="s">
        <v>2769</v>
      </c>
      <c r="B937" t="s">
        <v>2770</v>
      </c>
    </row>
    <row r="938" spans="1:2" s="4" customFormat="1">
      <c r="A938" t="s">
        <v>2771</v>
      </c>
      <c r="B938" t="s">
        <v>417</v>
      </c>
    </row>
    <row r="939" spans="1:2" s="4" customFormat="1">
      <c r="A939" t="s">
        <v>2772</v>
      </c>
      <c r="B939" t="s">
        <v>2773</v>
      </c>
    </row>
    <row r="940" spans="1:2" s="4" customFormat="1">
      <c r="A940" t="s">
        <v>2774</v>
      </c>
      <c r="B940" t="s">
        <v>418</v>
      </c>
    </row>
    <row r="941" spans="1:2" s="4" customFormat="1">
      <c r="A941" t="s">
        <v>2775</v>
      </c>
      <c r="B941" t="s">
        <v>2776</v>
      </c>
    </row>
    <row r="942" spans="1:2" s="4" customFormat="1">
      <c r="A942" t="s">
        <v>2777</v>
      </c>
      <c r="B942" t="s">
        <v>3436</v>
      </c>
    </row>
    <row r="943" spans="1:2" s="4" customFormat="1">
      <c r="A943" t="s">
        <v>2778</v>
      </c>
      <c r="B943" t="s">
        <v>2779</v>
      </c>
    </row>
    <row r="944" spans="1:2" s="4" customFormat="1">
      <c r="A944" t="s">
        <v>2780</v>
      </c>
      <c r="B944" t="s">
        <v>3437</v>
      </c>
    </row>
    <row r="945" spans="1:2" s="4" customFormat="1">
      <c r="A945" t="s">
        <v>3237</v>
      </c>
      <c r="B945" t="s">
        <v>3233</v>
      </c>
    </row>
    <row r="946" spans="1:2" s="4" customFormat="1">
      <c r="A946" t="s">
        <v>3238</v>
      </c>
      <c r="B946" t="s">
        <v>3235</v>
      </c>
    </row>
    <row r="947" spans="1:2" s="4" customFormat="1">
      <c r="A947" t="s">
        <v>2855</v>
      </c>
      <c r="B947" t="s">
        <v>3223</v>
      </c>
    </row>
    <row r="948" spans="1:2" s="4" customFormat="1">
      <c r="A948" t="s">
        <v>2856</v>
      </c>
      <c r="B948" t="s">
        <v>3438</v>
      </c>
    </row>
    <row r="949" spans="1:2" s="4" customFormat="1">
      <c r="A949" t="s">
        <v>2857</v>
      </c>
      <c r="B949" t="s">
        <v>3225</v>
      </c>
    </row>
    <row r="950" spans="1:2" s="4" customFormat="1">
      <c r="A950" t="s">
        <v>2858</v>
      </c>
      <c r="B950" t="s">
        <v>447</v>
      </c>
    </row>
    <row r="951" spans="1:2" s="4" customFormat="1">
      <c r="A951" t="s">
        <v>2859</v>
      </c>
      <c r="B951" t="s">
        <v>3227</v>
      </c>
    </row>
    <row r="952" spans="1:2" s="4" customFormat="1">
      <c r="A952" t="s">
        <v>2860</v>
      </c>
      <c r="B952" t="s">
        <v>448</v>
      </c>
    </row>
    <row r="953" spans="1:2" s="4" customFormat="1">
      <c r="A953" t="s">
        <v>2861</v>
      </c>
      <c r="B953" t="s">
        <v>3229</v>
      </c>
    </row>
    <row r="954" spans="1:2" s="4" customFormat="1">
      <c r="A954" t="s">
        <v>2862</v>
      </c>
      <c r="B954" t="s">
        <v>449</v>
      </c>
    </row>
    <row r="955" spans="1:2" s="4" customFormat="1">
      <c r="A955" t="s">
        <v>2863</v>
      </c>
      <c r="B955" t="s">
        <v>3231</v>
      </c>
    </row>
    <row r="956" spans="1:2" s="4" customFormat="1">
      <c r="A956" t="s">
        <v>2864</v>
      </c>
      <c r="B956" t="s">
        <v>450</v>
      </c>
    </row>
    <row r="957" spans="1:2" s="4" customFormat="1">
      <c r="A957" t="s">
        <v>2865</v>
      </c>
      <c r="B957" t="s">
        <v>3415</v>
      </c>
    </row>
    <row r="958" spans="1:2" s="4" customFormat="1">
      <c r="A958" t="s">
        <v>2866</v>
      </c>
      <c r="B958" t="s">
        <v>451</v>
      </c>
    </row>
    <row r="959" spans="1:2" s="4" customFormat="1">
      <c r="A959" t="s">
        <v>2867</v>
      </c>
      <c r="B959" t="s">
        <v>3417</v>
      </c>
    </row>
    <row r="960" spans="1:2" s="4" customFormat="1">
      <c r="A960" t="s">
        <v>2868</v>
      </c>
      <c r="B960" t="s">
        <v>452</v>
      </c>
    </row>
    <row r="961" spans="1:2" s="4" customFormat="1">
      <c r="A961" t="s">
        <v>3239</v>
      </c>
      <c r="B961" t="s">
        <v>3419</v>
      </c>
    </row>
    <row r="962" spans="1:2" s="4" customFormat="1">
      <c r="A962" t="s">
        <v>3240</v>
      </c>
      <c r="B962" t="s">
        <v>3439</v>
      </c>
    </row>
    <row r="963" spans="1:2" s="4" customFormat="1">
      <c r="A963" t="s">
        <v>3440</v>
      </c>
      <c r="B963" t="s">
        <v>3421</v>
      </c>
    </row>
    <row r="964" spans="1:2" s="4" customFormat="1">
      <c r="A964" t="s">
        <v>3441</v>
      </c>
      <c r="B964" t="s">
        <v>3442</v>
      </c>
    </row>
    <row r="965" spans="1:2" s="4" customFormat="1">
      <c r="A965" t="s">
        <v>3443</v>
      </c>
      <c r="B965" t="s">
        <v>3233</v>
      </c>
    </row>
    <row r="966" spans="1:2" s="4" customFormat="1">
      <c r="A966" t="s">
        <v>3444</v>
      </c>
      <c r="B966" t="s">
        <v>3235</v>
      </c>
    </row>
    <row r="967" spans="1:2" s="4" customFormat="1">
      <c r="A967" t="s">
        <v>2781</v>
      </c>
      <c r="B967" t="s">
        <v>53</v>
      </c>
    </row>
    <row r="968" spans="1:2" s="4" customFormat="1">
      <c r="A968" t="s">
        <v>2782</v>
      </c>
      <c r="B968" t="s">
        <v>185</v>
      </c>
    </row>
    <row r="969" spans="1:2" s="4" customFormat="1">
      <c r="A969" t="s">
        <v>2783</v>
      </c>
      <c r="B969" t="s">
        <v>3697</v>
      </c>
    </row>
    <row r="970" spans="1:2" s="4" customFormat="1">
      <c r="A970" t="s">
        <v>2785</v>
      </c>
      <c r="B970" t="s">
        <v>2670</v>
      </c>
    </row>
    <row r="971" spans="1:2" s="4" customFormat="1">
      <c r="A971" t="s">
        <v>2784</v>
      </c>
      <c r="B971">
        <v>1001002</v>
      </c>
    </row>
    <row r="972" spans="1:2" s="4" customFormat="1">
      <c r="A972" t="s">
        <v>2786</v>
      </c>
      <c r="B972" t="s">
        <v>55</v>
      </c>
    </row>
    <row r="973" spans="1:2" s="4" customFormat="1">
      <c r="A973" t="s">
        <v>2787</v>
      </c>
      <c r="B973" t="s">
        <v>193</v>
      </c>
    </row>
    <row r="974" spans="1:2" s="4" customFormat="1">
      <c r="A974" t="s">
        <v>2788</v>
      </c>
      <c r="B974" t="s">
        <v>3104</v>
      </c>
    </row>
    <row r="975" spans="1:2" s="4" customFormat="1">
      <c r="A975" t="s">
        <v>2790</v>
      </c>
      <c r="B975" t="s">
        <v>2670</v>
      </c>
    </row>
    <row r="976" spans="1:2" s="4" customFormat="1">
      <c r="A976" t="s">
        <v>2789</v>
      </c>
      <c r="B976">
        <v>1001003</v>
      </c>
    </row>
    <row r="977" spans="1:2" s="4" customFormat="1">
      <c r="A977" t="s">
        <v>2791</v>
      </c>
      <c r="B977" t="s">
        <v>54</v>
      </c>
    </row>
    <row r="978" spans="1:2" s="4" customFormat="1">
      <c r="A978" t="s">
        <v>2792</v>
      </c>
      <c r="B978" t="s">
        <v>189</v>
      </c>
    </row>
    <row r="979" spans="1:2" s="4" customFormat="1">
      <c r="A979" t="s">
        <v>2793</v>
      </c>
      <c r="B979" t="s">
        <v>422</v>
      </c>
    </row>
    <row r="980" spans="1:2" s="4" customFormat="1">
      <c r="A980" t="s">
        <v>2795</v>
      </c>
      <c r="B980"/>
    </row>
    <row r="981" spans="1:2" s="4" customFormat="1">
      <c r="A981" t="s">
        <v>2794</v>
      </c>
      <c r="B981">
        <v>1001001</v>
      </c>
    </row>
    <row r="982" spans="1:2" s="4" customFormat="1">
      <c r="A982" t="s">
        <v>2796</v>
      </c>
      <c r="B982" t="s">
        <v>57</v>
      </c>
    </row>
    <row r="983" spans="1:2" s="4" customFormat="1">
      <c r="A983" t="s">
        <v>2797</v>
      </c>
      <c r="B983" t="s">
        <v>201</v>
      </c>
    </row>
    <row r="984" spans="1:2" s="4" customFormat="1">
      <c r="A984" t="s">
        <v>2798</v>
      </c>
      <c r="B984" t="s">
        <v>425</v>
      </c>
    </row>
    <row r="985" spans="1:2" s="4" customFormat="1">
      <c r="A985" t="s">
        <v>2800</v>
      </c>
      <c r="B985"/>
    </row>
    <row r="986" spans="1:2" s="4" customFormat="1">
      <c r="A986" t="s">
        <v>2799</v>
      </c>
      <c r="B986">
        <v>1001004</v>
      </c>
    </row>
    <row r="987" spans="1:2" s="4" customFormat="1">
      <c r="A987" t="s">
        <v>2801</v>
      </c>
      <c r="B987" t="s">
        <v>62</v>
      </c>
    </row>
    <row r="988" spans="1:2" s="4" customFormat="1">
      <c r="A988" t="s">
        <v>2802</v>
      </c>
      <c r="B988" t="s">
        <v>223</v>
      </c>
    </row>
    <row r="989" spans="1:2" s="4" customFormat="1">
      <c r="A989" t="s">
        <v>2803</v>
      </c>
      <c r="B989" t="s">
        <v>430</v>
      </c>
    </row>
    <row r="990" spans="1:2" s="4" customFormat="1">
      <c r="A990" t="s">
        <v>2805</v>
      </c>
      <c r="B990"/>
    </row>
    <row r="991" spans="1:2" s="4" customFormat="1">
      <c r="A991" t="s">
        <v>2804</v>
      </c>
      <c r="B991">
        <v>1001005</v>
      </c>
    </row>
    <row r="992" spans="1:2" s="4" customFormat="1">
      <c r="A992" t="s">
        <v>2806</v>
      </c>
      <c r="B992" t="s">
        <v>64</v>
      </c>
    </row>
    <row r="993" spans="1:2" s="4" customFormat="1">
      <c r="A993" t="s">
        <v>2807</v>
      </c>
      <c r="B993" t="s">
        <v>231</v>
      </c>
    </row>
    <row r="994" spans="1:2" s="4" customFormat="1">
      <c r="A994" t="s">
        <v>2808</v>
      </c>
      <c r="B994" t="s">
        <v>432</v>
      </c>
    </row>
    <row r="995" spans="1:2" s="4" customFormat="1">
      <c r="A995" t="s">
        <v>2810</v>
      </c>
      <c r="B995"/>
    </row>
    <row r="996" spans="1:2" s="4" customFormat="1">
      <c r="A996" t="s">
        <v>2809</v>
      </c>
      <c r="B996">
        <v>1002011</v>
      </c>
    </row>
    <row r="997" spans="1:2" s="4" customFormat="1">
      <c r="A997" t="s">
        <v>2811</v>
      </c>
      <c r="B997" t="s">
        <v>65</v>
      </c>
    </row>
    <row r="998" spans="1:2" s="4" customFormat="1">
      <c r="A998" t="s">
        <v>2812</v>
      </c>
      <c r="B998" t="s">
        <v>236</v>
      </c>
    </row>
    <row r="999" spans="1:2" s="4" customFormat="1">
      <c r="A999" t="s">
        <v>2813</v>
      </c>
      <c r="B999" t="s">
        <v>433</v>
      </c>
    </row>
    <row r="1000" spans="1:2" s="4" customFormat="1">
      <c r="A1000" t="s">
        <v>2815</v>
      </c>
      <c r="B1000"/>
    </row>
    <row r="1001" spans="1:2" s="4" customFormat="1">
      <c r="A1001" t="s">
        <v>2814</v>
      </c>
      <c r="B1001">
        <v>1002012</v>
      </c>
    </row>
    <row r="1002" spans="1:2" s="4" customFormat="1">
      <c r="A1002" t="s">
        <v>2816</v>
      </c>
      <c r="B1002" t="s">
        <v>61</v>
      </c>
    </row>
    <row r="1003" spans="1:2" s="4" customFormat="1">
      <c r="A1003" t="s">
        <v>2817</v>
      </c>
      <c r="B1003" t="s">
        <v>218</v>
      </c>
    </row>
    <row r="1004" spans="1:2" s="4" customFormat="1">
      <c r="A1004" t="s">
        <v>2818</v>
      </c>
      <c r="B1004" t="s">
        <v>429</v>
      </c>
    </row>
    <row r="1005" spans="1:2" s="4" customFormat="1">
      <c r="A1005" t="s">
        <v>2820</v>
      </c>
      <c r="B1005"/>
    </row>
    <row r="1006" spans="1:2" s="4" customFormat="1">
      <c r="A1006" t="s">
        <v>2819</v>
      </c>
      <c r="B1006">
        <v>1002016</v>
      </c>
    </row>
    <row r="1007" spans="1:2" s="4" customFormat="1">
      <c r="A1007" t="s">
        <v>2821</v>
      </c>
      <c r="B1007" t="s">
        <v>58</v>
      </c>
    </row>
    <row r="1008" spans="1:2" s="4" customFormat="1">
      <c r="A1008" t="s">
        <v>2822</v>
      </c>
      <c r="B1008" t="s">
        <v>204</v>
      </c>
    </row>
    <row r="1009" spans="1:2" s="4" customFormat="1">
      <c r="A1009" t="s">
        <v>2823</v>
      </c>
      <c r="B1009" t="s">
        <v>426</v>
      </c>
    </row>
    <row r="1010" spans="1:2" s="4" customFormat="1">
      <c r="A1010" t="s">
        <v>2825</v>
      </c>
      <c r="B1010"/>
    </row>
    <row r="1011" spans="1:2" s="4" customFormat="1">
      <c r="A1011" t="s">
        <v>2824</v>
      </c>
      <c r="B1011">
        <v>1002017</v>
      </c>
    </row>
    <row r="1012" spans="1:2" s="4" customFormat="1">
      <c r="A1012" t="s">
        <v>2826</v>
      </c>
      <c r="B1012" t="s">
        <v>52</v>
      </c>
    </row>
    <row r="1013" spans="1:2" s="4" customFormat="1">
      <c r="A1013" t="s">
        <v>2827</v>
      </c>
      <c r="B1013" t="s">
        <v>180</v>
      </c>
    </row>
    <row r="1014" spans="1:2" s="4" customFormat="1">
      <c r="A1014" t="s">
        <v>2828</v>
      </c>
      <c r="B1014" t="s">
        <v>420</v>
      </c>
    </row>
    <row r="1015" spans="1:2" s="4" customFormat="1">
      <c r="A1015" t="s">
        <v>2830</v>
      </c>
      <c r="B1015"/>
    </row>
    <row r="1016" spans="1:2" s="4" customFormat="1">
      <c r="A1016" t="s">
        <v>2829</v>
      </c>
      <c r="B1016">
        <v>1003023</v>
      </c>
    </row>
    <row r="1017" spans="1:2" s="4" customFormat="1">
      <c r="A1017" t="s">
        <v>2869</v>
      </c>
      <c r="B1017" t="s">
        <v>55</v>
      </c>
    </row>
    <row r="1018" spans="1:2" s="4" customFormat="1">
      <c r="A1018" t="s">
        <v>2870</v>
      </c>
      <c r="B1018" t="s">
        <v>193</v>
      </c>
    </row>
    <row r="1019" spans="1:2" s="4" customFormat="1">
      <c r="A1019" t="s">
        <v>2871</v>
      </c>
      <c r="B1019" t="s">
        <v>3104</v>
      </c>
    </row>
    <row r="1020" spans="1:2" s="4" customFormat="1">
      <c r="A1020" t="s">
        <v>2872</v>
      </c>
      <c r="B1020" t="s">
        <v>2670</v>
      </c>
    </row>
    <row r="1021" spans="1:2" s="4" customFormat="1">
      <c r="A1021" t="s">
        <v>2873</v>
      </c>
      <c r="B1021">
        <v>1001003</v>
      </c>
    </row>
    <row r="1022" spans="1:2" s="4" customFormat="1">
      <c r="A1022" t="s">
        <v>2874</v>
      </c>
      <c r="B1022" t="s">
        <v>53</v>
      </c>
    </row>
    <row r="1023" spans="1:2" s="4" customFormat="1">
      <c r="A1023" t="s">
        <v>2875</v>
      </c>
      <c r="B1023" t="s">
        <v>185</v>
      </c>
    </row>
    <row r="1024" spans="1:2" s="4" customFormat="1">
      <c r="A1024" t="s">
        <v>2876</v>
      </c>
      <c r="B1024" t="s">
        <v>3697</v>
      </c>
    </row>
    <row r="1025" spans="1:2" s="4" customFormat="1">
      <c r="A1025" t="s">
        <v>2877</v>
      </c>
      <c r="B1025" t="s">
        <v>2670</v>
      </c>
    </row>
    <row r="1026" spans="1:2" s="4" customFormat="1">
      <c r="A1026" t="s">
        <v>2878</v>
      </c>
      <c r="B1026">
        <v>1001002</v>
      </c>
    </row>
    <row r="1027" spans="1:2" s="4" customFormat="1">
      <c r="A1027" t="s">
        <v>2879</v>
      </c>
      <c r="B1027" t="s">
        <v>54</v>
      </c>
    </row>
    <row r="1028" spans="1:2" s="4" customFormat="1">
      <c r="A1028" t="s">
        <v>2880</v>
      </c>
      <c r="B1028" t="s">
        <v>189</v>
      </c>
    </row>
    <row r="1029" spans="1:2" s="4" customFormat="1">
      <c r="A1029" t="s">
        <v>2881</v>
      </c>
      <c r="B1029" t="s">
        <v>422</v>
      </c>
    </row>
    <row r="1030" spans="1:2" s="4" customFormat="1">
      <c r="A1030" t="s">
        <v>2882</v>
      </c>
      <c r="B1030"/>
    </row>
    <row r="1031" spans="1:2" s="4" customFormat="1">
      <c r="A1031" t="s">
        <v>2883</v>
      </c>
      <c r="B1031">
        <v>1001001</v>
      </c>
    </row>
    <row r="1032" spans="1:2" s="4" customFormat="1">
      <c r="A1032" t="s">
        <v>2884</v>
      </c>
      <c r="B1032" t="s">
        <v>62</v>
      </c>
    </row>
    <row r="1033" spans="1:2" s="4" customFormat="1">
      <c r="A1033" t="s">
        <v>2885</v>
      </c>
      <c r="B1033" t="s">
        <v>223</v>
      </c>
    </row>
    <row r="1034" spans="1:2" s="4" customFormat="1">
      <c r="A1034" t="s">
        <v>2886</v>
      </c>
      <c r="B1034" t="s">
        <v>430</v>
      </c>
    </row>
    <row r="1035" spans="1:2" s="4" customFormat="1">
      <c r="A1035" t="s">
        <v>2887</v>
      </c>
      <c r="B1035"/>
    </row>
    <row r="1036" spans="1:2" s="4" customFormat="1">
      <c r="A1036" t="s">
        <v>2888</v>
      </c>
      <c r="B1036">
        <v>1001005</v>
      </c>
    </row>
    <row r="1037" spans="1:2" s="4" customFormat="1">
      <c r="A1037" t="s">
        <v>2889</v>
      </c>
      <c r="B1037" t="s">
        <v>64</v>
      </c>
    </row>
    <row r="1038" spans="1:2" s="4" customFormat="1">
      <c r="A1038" t="s">
        <v>2890</v>
      </c>
      <c r="B1038" t="s">
        <v>231</v>
      </c>
    </row>
    <row r="1039" spans="1:2" s="4" customFormat="1">
      <c r="A1039" t="s">
        <v>2891</v>
      </c>
      <c r="B1039" t="s">
        <v>432</v>
      </c>
    </row>
    <row r="1040" spans="1:2" s="4" customFormat="1">
      <c r="A1040" t="s">
        <v>2892</v>
      </c>
      <c r="B1040"/>
    </row>
    <row r="1041" spans="1:2" s="4" customFormat="1">
      <c r="A1041" t="s">
        <v>2893</v>
      </c>
      <c r="B1041">
        <v>1002011</v>
      </c>
    </row>
    <row r="1042" spans="1:2" s="4" customFormat="1">
      <c r="A1042" t="s">
        <v>2894</v>
      </c>
      <c r="B1042" t="s">
        <v>65</v>
      </c>
    </row>
    <row r="1043" spans="1:2" s="4" customFormat="1">
      <c r="A1043" t="s">
        <v>2895</v>
      </c>
      <c r="B1043" t="s">
        <v>236</v>
      </c>
    </row>
    <row r="1044" spans="1:2" s="4" customFormat="1">
      <c r="A1044" t="s">
        <v>2896</v>
      </c>
      <c r="B1044" t="s">
        <v>433</v>
      </c>
    </row>
    <row r="1045" spans="1:2" s="4" customFormat="1">
      <c r="A1045" t="s">
        <v>2897</v>
      </c>
      <c r="B1045"/>
    </row>
    <row r="1046" spans="1:2" s="4" customFormat="1">
      <c r="A1046" t="s">
        <v>2898</v>
      </c>
      <c r="B1046">
        <v>1002012</v>
      </c>
    </row>
    <row r="1047" spans="1:2" s="4" customFormat="1">
      <c r="A1047" t="s">
        <v>2899</v>
      </c>
      <c r="B1047" t="s">
        <v>73</v>
      </c>
    </row>
    <row r="1048" spans="1:2" s="4" customFormat="1">
      <c r="A1048" t="s">
        <v>2900</v>
      </c>
      <c r="B1048" t="s">
        <v>273</v>
      </c>
    </row>
    <row r="1049" spans="1:2" s="4" customFormat="1">
      <c r="A1049" t="s">
        <v>2901</v>
      </c>
      <c r="B1049" t="s">
        <v>459</v>
      </c>
    </row>
    <row r="1050" spans="1:2" s="4" customFormat="1">
      <c r="A1050" t="s">
        <v>2902</v>
      </c>
      <c r="B1050"/>
    </row>
    <row r="1051" spans="1:2" s="4" customFormat="1">
      <c r="A1051" t="s">
        <v>2903</v>
      </c>
      <c r="B1051">
        <v>1002013</v>
      </c>
    </row>
    <row r="1052" spans="1:2">
      <c r="A1052" t="s">
        <v>2904</v>
      </c>
      <c r="B1052" t="s">
        <v>68</v>
      </c>
    </row>
    <row r="1053" spans="1:2">
      <c r="A1053" t="s">
        <v>2905</v>
      </c>
      <c r="B1053" t="s">
        <v>249</v>
      </c>
    </row>
    <row r="1054" spans="1:2">
      <c r="A1054" t="s">
        <v>2906</v>
      </c>
      <c r="B1054" t="s">
        <v>454</v>
      </c>
    </row>
    <row r="1055" spans="1:2">
      <c r="A1055" t="s">
        <v>2907</v>
      </c>
      <c r="B1055"/>
    </row>
    <row r="1056" spans="1:2">
      <c r="A1056" t="s">
        <v>2908</v>
      </c>
      <c r="B1056">
        <v>1002014</v>
      </c>
    </row>
    <row r="1057" spans="1:2">
      <c r="A1057" t="s">
        <v>2909</v>
      </c>
      <c r="B1057" t="s">
        <v>60</v>
      </c>
    </row>
    <row r="1058" spans="1:2">
      <c r="A1058" t="s">
        <v>2910</v>
      </c>
      <c r="B1058" t="s">
        <v>214</v>
      </c>
    </row>
    <row r="1059" spans="1:2">
      <c r="A1059" t="s">
        <v>2911</v>
      </c>
      <c r="B1059" t="s">
        <v>428</v>
      </c>
    </row>
    <row r="1060" spans="1:2">
      <c r="A1060" t="s">
        <v>2912</v>
      </c>
      <c r="B1060"/>
    </row>
    <row r="1061" spans="1:2">
      <c r="A1061" t="s">
        <v>2913</v>
      </c>
      <c r="B1061">
        <v>1002015</v>
      </c>
    </row>
    <row r="1062" spans="1:2">
      <c r="A1062" t="s">
        <v>2914</v>
      </c>
      <c r="B1062" t="s">
        <v>78</v>
      </c>
    </row>
    <row r="1063" spans="1:2">
      <c r="A1063" t="s">
        <v>2915</v>
      </c>
      <c r="B1063" t="s">
        <v>294</v>
      </c>
    </row>
    <row r="1064" spans="1:2">
      <c r="A1064" t="s">
        <v>2916</v>
      </c>
      <c r="B1064" t="s">
        <v>464</v>
      </c>
    </row>
    <row r="1065" spans="1:2">
      <c r="A1065" t="s">
        <v>2917</v>
      </c>
      <c r="B1065"/>
    </row>
    <row r="1066" spans="1:2">
      <c r="A1066" t="s">
        <v>2918</v>
      </c>
      <c r="B1066">
        <v>1003021</v>
      </c>
    </row>
    <row r="1067" spans="1:2">
      <c r="A1067" t="s">
        <v>3106</v>
      </c>
      <c r="B1067" t="s">
        <v>91</v>
      </c>
    </row>
    <row r="1068" spans="1:2">
      <c r="A1068" t="s">
        <v>3107</v>
      </c>
      <c r="B1068" t="s">
        <v>348</v>
      </c>
    </row>
    <row r="1069" spans="1:2">
      <c r="A1069" t="s">
        <v>3108</v>
      </c>
      <c r="B1069" t="s">
        <v>3103</v>
      </c>
    </row>
    <row r="1070" spans="1:2">
      <c r="A1070" t="s">
        <v>3109</v>
      </c>
      <c r="B1070" t="s">
        <v>2670</v>
      </c>
    </row>
    <row r="1071" spans="1:2">
      <c r="A1071" t="s">
        <v>3110</v>
      </c>
      <c r="B1071">
        <v>2002013</v>
      </c>
    </row>
    <row r="1072" spans="1:2">
      <c r="A1072" t="s">
        <v>3111</v>
      </c>
      <c r="B1072" t="s">
        <v>102</v>
      </c>
    </row>
    <row r="1073" spans="1:2">
      <c r="A1073" t="s">
        <v>3112</v>
      </c>
      <c r="B1073" t="s">
        <v>392</v>
      </c>
    </row>
    <row r="1074" spans="1:2">
      <c r="A1074" t="s">
        <v>3113</v>
      </c>
      <c r="B1074" t="s">
        <v>489</v>
      </c>
    </row>
    <row r="1075" spans="1:2">
      <c r="A1075" t="s">
        <v>3114</v>
      </c>
      <c r="B1075"/>
    </row>
    <row r="1076" spans="1:2">
      <c r="A1076" t="s">
        <v>3115</v>
      </c>
      <c r="B1076">
        <v>2001001</v>
      </c>
    </row>
    <row r="1077" spans="1:2">
      <c r="A1077" t="s">
        <v>3116</v>
      </c>
      <c r="B1077" t="s">
        <v>107</v>
      </c>
    </row>
    <row r="1078" spans="1:2">
      <c r="A1078" t="s">
        <v>3117</v>
      </c>
      <c r="B1078" t="s">
        <v>412</v>
      </c>
    </row>
    <row r="1079" spans="1:2">
      <c r="A1079" t="s">
        <v>3118</v>
      </c>
      <c r="B1079" t="s">
        <v>494</v>
      </c>
    </row>
    <row r="1080" spans="1:2">
      <c r="A1080" t="s">
        <v>3119</v>
      </c>
      <c r="B1080"/>
    </row>
    <row r="1081" spans="1:2">
      <c r="A1081" t="s">
        <v>3120</v>
      </c>
      <c r="B1081">
        <v>2001002</v>
      </c>
    </row>
    <row r="1082" spans="1:2">
      <c r="A1082" t="s">
        <v>3121</v>
      </c>
      <c r="B1082" t="s">
        <v>104</v>
      </c>
    </row>
    <row r="1083" spans="1:2">
      <c r="A1083" t="s">
        <v>3122</v>
      </c>
      <c r="B1083" t="s">
        <v>400</v>
      </c>
    </row>
    <row r="1084" spans="1:2">
      <c r="A1084" t="s">
        <v>3123</v>
      </c>
      <c r="B1084" t="s">
        <v>491</v>
      </c>
    </row>
    <row r="1085" spans="1:2">
      <c r="A1085" t="s">
        <v>3124</v>
      </c>
      <c r="B1085"/>
    </row>
    <row r="1086" spans="1:2">
      <c r="A1086" t="s">
        <v>3125</v>
      </c>
      <c r="B1086">
        <v>2001003</v>
      </c>
    </row>
    <row r="1087" spans="1:2">
      <c r="A1087" t="s">
        <v>3126</v>
      </c>
      <c r="B1087" t="s">
        <v>89</v>
      </c>
    </row>
    <row r="1088" spans="1:2">
      <c r="A1088" t="s">
        <v>3127</v>
      </c>
      <c r="B1088" t="s">
        <v>340</v>
      </c>
    </row>
    <row r="1089" spans="1:2">
      <c r="A1089" t="s">
        <v>3128</v>
      </c>
      <c r="B1089" t="s">
        <v>476</v>
      </c>
    </row>
    <row r="1090" spans="1:2">
      <c r="A1090" t="s">
        <v>3129</v>
      </c>
      <c r="B1090"/>
    </row>
    <row r="1091" spans="1:2">
      <c r="A1091" t="s">
        <v>3130</v>
      </c>
      <c r="B1091">
        <v>2001005</v>
      </c>
    </row>
    <row r="1092" spans="1:2">
      <c r="A1092" t="s">
        <v>3447</v>
      </c>
      <c r="B1092" t="s">
        <v>88</v>
      </c>
    </row>
    <row r="1093" spans="1:2">
      <c r="A1093" t="s">
        <v>3448</v>
      </c>
      <c r="B1093" t="s">
        <v>336</v>
      </c>
    </row>
    <row r="1094" spans="1:2">
      <c r="A1094" t="s">
        <v>3449</v>
      </c>
      <c r="B1094" t="s">
        <v>475</v>
      </c>
    </row>
    <row r="1095" spans="1:2">
      <c r="A1095" t="s">
        <v>3450</v>
      </c>
      <c r="B1095"/>
    </row>
    <row r="1096" spans="1:2">
      <c r="A1096" t="s">
        <v>3451</v>
      </c>
      <c r="B1096">
        <v>2002011</v>
      </c>
    </row>
    <row r="1097" spans="1:2">
      <c r="A1097" t="s">
        <v>3131</v>
      </c>
      <c r="B1097" t="s">
        <v>60</v>
      </c>
    </row>
    <row r="1098" spans="1:2">
      <c r="A1098" t="s">
        <v>3132</v>
      </c>
      <c r="B1098" t="s">
        <v>214</v>
      </c>
    </row>
    <row r="1099" spans="1:2">
      <c r="A1099" t="s">
        <v>3133</v>
      </c>
      <c r="B1099" t="s">
        <v>428</v>
      </c>
    </row>
    <row r="1100" spans="1:2">
      <c r="A1100" t="s">
        <v>3134</v>
      </c>
      <c r="B1100"/>
    </row>
    <row r="1101" spans="1:2">
      <c r="A1101" t="s">
        <v>3135</v>
      </c>
      <c r="B1101">
        <v>2001006</v>
      </c>
    </row>
    <row r="1102" spans="1:2">
      <c r="A1102" t="s">
        <v>3136</v>
      </c>
      <c r="B1102" t="s">
        <v>103</v>
      </c>
    </row>
    <row r="1103" spans="1:2">
      <c r="A1103" t="s">
        <v>3137</v>
      </c>
      <c r="B1103" t="s">
        <v>396</v>
      </c>
    </row>
    <row r="1104" spans="1:2">
      <c r="A1104" t="s">
        <v>3138</v>
      </c>
      <c r="B1104" t="s">
        <v>490</v>
      </c>
    </row>
    <row r="1105" spans="1:2">
      <c r="A1105" t="s">
        <v>3139</v>
      </c>
      <c r="B1105"/>
    </row>
    <row r="1106" spans="1:2">
      <c r="A1106" t="s">
        <v>3140</v>
      </c>
      <c r="B1106">
        <v>2001006</v>
      </c>
    </row>
    <row r="1107" spans="1:2">
      <c r="A1107" t="s">
        <v>3141</v>
      </c>
      <c r="B1107" t="s">
        <v>95</v>
      </c>
    </row>
    <row r="1108" spans="1:2">
      <c r="A1108" t="s">
        <v>3142</v>
      </c>
      <c r="B1108" t="s">
        <v>365</v>
      </c>
    </row>
    <row r="1109" spans="1:2">
      <c r="A1109" t="s">
        <v>3143</v>
      </c>
      <c r="B1109" t="s">
        <v>482</v>
      </c>
    </row>
    <row r="1110" spans="1:2">
      <c r="A1110" t="s">
        <v>3144</v>
      </c>
      <c r="B1110"/>
    </row>
    <row r="1111" spans="1:2">
      <c r="A1111" t="s">
        <v>3145</v>
      </c>
      <c r="B1111">
        <v>2001007</v>
      </c>
    </row>
    <row r="1112" spans="1:2">
      <c r="A1112" t="s">
        <v>3146</v>
      </c>
      <c r="B1112" t="s">
        <v>93</v>
      </c>
    </row>
    <row r="1113" spans="1:2">
      <c r="A1113" t="s">
        <v>3147</v>
      </c>
      <c r="B1113" t="s">
        <v>355</v>
      </c>
    </row>
    <row r="1114" spans="1:2">
      <c r="A1114" t="s">
        <v>3148</v>
      </c>
      <c r="B1114" t="s">
        <v>480</v>
      </c>
    </row>
    <row r="1115" spans="1:2">
      <c r="A1115" t="s">
        <v>3149</v>
      </c>
      <c r="B1115"/>
    </row>
    <row r="1116" spans="1:2">
      <c r="A1116" t="s">
        <v>3150</v>
      </c>
      <c r="B1116">
        <v>2002014</v>
      </c>
    </row>
    <row r="1117" spans="1:2">
      <c r="A1117" t="s">
        <v>3151</v>
      </c>
      <c r="B1117" t="s">
        <v>78</v>
      </c>
    </row>
    <row r="1118" spans="1:2">
      <c r="A1118" t="s">
        <v>3152</v>
      </c>
      <c r="B1118" t="s">
        <v>294</v>
      </c>
    </row>
    <row r="1119" spans="1:2">
      <c r="A1119" t="s">
        <v>3153</v>
      </c>
      <c r="B1119" t="s">
        <v>464</v>
      </c>
    </row>
    <row r="1120" spans="1:2">
      <c r="A1120" t="s">
        <v>3154</v>
      </c>
      <c r="B1120"/>
    </row>
    <row r="1121" spans="1:2">
      <c r="A1121" t="s">
        <v>3155</v>
      </c>
      <c r="B1121">
        <v>2002015</v>
      </c>
    </row>
    <row r="1122" spans="1:2">
      <c r="A1122" t="s">
        <v>3516</v>
      </c>
      <c r="B1122" t="s">
        <v>3503</v>
      </c>
    </row>
    <row r="1123" spans="1:2">
      <c r="A1123" t="s">
        <v>3517</v>
      </c>
      <c r="B1123" t="s">
        <v>3505</v>
      </c>
    </row>
    <row r="1124" spans="1:2">
      <c r="A1124" t="s">
        <v>3518</v>
      </c>
      <c r="B1124" t="s">
        <v>3501</v>
      </c>
    </row>
    <row r="1125" spans="1:2">
      <c r="A1125" t="s">
        <v>3519</v>
      </c>
      <c r="B1125" t="s">
        <v>498</v>
      </c>
    </row>
    <row r="1126" spans="1:2">
      <c r="A1126" t="s">
        <v>3520</v>
      </c>
      <c r="B1126" t="s">
        <v>3503</v>
      </c>
    </row>
    <row r="1127" spans="1:2">
      <c r="A1127" t="s">
        <v>3521</v>
      </c>
      <c r="B1127" t="s">
        <v>3509</v>
      </c>
    </row>
    <row r="1128" spans="1:2">
      <c r="A1128" t="s">
        <v>3522</v>
      </c>
      <c r="B1128" t="s">
        <v>3507</v>
      </c>
    </row>
    <row r="1129" spans="1:2">
      <c r="A1129" t="s">
        <v>3523</v>
      </c>
      <c r="B1129" t="s">
        <v>499</v>
      </c>
    </row>
    <row r="1130" spans="1:2">
      <c r="A1130" t="s">
        <v>3524</v>
      </c>
      <c r="B1130" t="s">
        <v>3511</v>
      </c>
    </row>
    <row r="1131" spans="1:2">
      <c r="A1131" t="s">
        <v>3525</v>
      </c>
      <c r="B1131" t="s">
        <v>3515</v>
      </c>
    </row>
    <row r="1132" spans="1:2">
      <c r="A1132" t="s">
        <v>3526</v>
      </c>
      <c r="B1132" t="s">
        <v>3513</v>
      </c>
    </row>
    <row r="1133" spans="1:2">
      <c r="A1133" t="s">
        <v>3527</v>
      </c>
      <c r="B1133" t="s">
        <v>500</v>
      </c>
    </row>
    <row r="1134" spans="1:2">
      <c r="A1134" t="s">
        <v>3157</v>
      </c>
      <c r="B1134" t="s">
        <v>2646</v>
      </c>
    </row>
    <row r="1135" spans="1:2">
      <c r="A1135" t="s">
        <v>3158</v>
      </c>
      <c r="B1135" t="s">
        <v>3623</v>
      </c>
    </row>
    <row r="1136" spans="1:2">
      <c r="A1136" t="s">
        <v>3159</v>
      </c>
      <c r="B1136" t="s">
        <v>2647</v>
      </c>
    </row>
    <row r="1137" spans="1:2">
      <c r="A1137" t="s">
        <v>3160</v>
      </c>
      <c r="B1137" t="s">
        <v>3624</v>
      </c>
    </row>
    <row r="1138" spans="1:2">
      <c r="A1138" t="s">
        <v>3161</v>
      </c>
      <c r="B1138" t="s">
        <v>2648</v>
      </c>
    </row>
    <row r="1139" spans="1:2">
      <c r="A1139" t="s">
        <v>3162</v>
      </c>
      <c r="B1139" t="s">
        <v>3625</v>
      </c>
    </row>
    <row r="1140" spans="1:2">
      <c r="A1140" t="s">
        <v>3163</v>
      </c>
      <c r="B1140" t="s">
        <v>2649</v>
      </c>
    </row>
    <row r="1141" spans="1:2">
      <c r="A1141" t="s">
        <v>3164</v>
      </c>
      <c r="B1141" t="s">
        <v>3626</v>
      </c>
    </row>
    <row r="1142" spans="1:2">
      <c r="A1142" t="s">
        <v>3165</v>
      </c>
      <c r="B1142" t="s">
        <v>2650</v>
      </c>
    </row>
    <row r="1143" spans="1:2">
      <c r="A1143" t="s">
        <v>3166</v>
      </c>
      <c r="B1143" t="s">
        <v>3627</v>
      </c>
    </row>
    <row r="1144" spans="1:2">
      <c r="A1144" t="s">
        <v>3167</v>
      </c>
      <c r="B1144" t="s">
        <v>2651</v>
      </c>
    </row>
    <row r="1145" spans="1:2">
      <c r="A1145" t="s">
        <v>3168</v>
      </c>
      <c r="B1145" t="s">
        <v>3628</v>
      </c>
    </row>
    <row r="1146" spans="1:2">
      <c r="A1146" t="s">
        <v>3169</v>
      </c>
      <c r="B1146" t="s">
        <v>2652</v>
      </c>
    </row>
    <row r="1147" spans="1:2">
      <c r="A1147" t="s">
        <v>3170</v>
      </c>
      <c r="B1147" t="s">
        <v>3629</v>
      </c>
    </row>
    <row r="1148" spans="1:2">
      <c r="A1148" t="s">
        <v>3171</v>
      </c>
      <c r="B1148" t="s">
        <v>2653</v>
      </c>
    </row>
    <row r="1149" spans="1:2">
      <c r="A1149" t="s">
        <v>3172</v>
      </c>
      <c r="B1149" t="s">
        <v>3630</v>
      </c>
    </row>
    <row r="1150" spans="1:2">
      <c r="A1150" t="s">
        <v>3631</v>
      </c>
      <c r="B1150" t="s">
        <v>2654</v>
      </c>
    </row>
    <row r="1151" spans="1:2">
      <c r="A1151" t="s">
        <v>3632</v>
      </c>
      <c r="B1151" t="s">
        <v>3633</v>
      </c>
    </row>
    <row r="1152" spans="1:2">
      <c r="A1152" t="s">
        <v>3173</v>
      </c>
      <c r="B1152" t="s">
        <v>2655</v>
      </c>
    </row>
    <row r="1153" spans="1:2">
      <c r="A1153" t="s">
        <v>3174</v>
      </c>
      <c r="B1153" t="s">
        <v>2932</v>
      </c>
    </row>
    <row r="1154" spans="1:2">
      <c r="A1154" t="s">
        <v>3175</v>
      </c>
      <c r="B1154" t="s">
        <v>2656</v>
      </c>
    </row>
    <row r="1155" spans="1:2">
      <c r="A1155" t="s">
        <v>3176</v>
      </c>
      <c r="B1155" t="s">
        <v>3634</v>
      </c>
    </row>
    <row r="1156" spans="1:2">
      <c r="A1156" t="s">
        <v>3177</v>
      </c>
      <c r="B1156" t="s">
        <v>2657</v>
      </c>
    </row>
    <row r="1157" spans="1:2">
      <c r="A1157" t="s">
        <v>3178</v>
      </c>
      <c r="B1157" t="s">
        <v>3635</v>
      </c>
    </row>
    <row r="1158" spans="1:2">
      <c r="A1158" t="s">
        <v>3179</v>
      </c>
      <c r="B1158" t="s">
        <v>2658</v>
      </c>
    </row>
    <row r="1159" spans="1:2">
      <c r="A1159" t="s">
        <v>3180</v>
      </c>
      <c r="B1159" t="s">
        <v>3636</v>
      </c>
    </row>
    <row r="1160" spans="1:2">
      <c r="A1160" t="s">
        <v>3181</v>
      </c>
      <c r="B1160" t="s">
        <v>1971</v>
      </c>
    </row>
    <row r="1161" spans="1:2">
      <c r="A1161" t="s">
        <v>3182</v>
      </c>
      <c r="B1161" t="s">
        <v>3637</v>
      </c>
    </row>
    <row r="1162" spans="1:2">
      <c r="A1162" t="s">
        <v>3183</v>
      </c>
      <c r="B1162" t="s">
        <v>2659</v>
      </c>
    </row>
    <row r="1163" spans="1:2">
      <c r="A1163" t="s">
        <v>3184</v>
      </c>
      <c r="B1163" t="s">
        <v>3638</v>
      </c>
    </row>
    <row r="1164" spans="1:2">
      <c r="A1164" t="s">
        <v>3185</v>
      </c>
      <c r="B1164" t="s">
        <v>3619</v>
      </c>
    </row>
    <row r="1165" spans="1:2">
      <c r="A1165" t="s">
        <v>3186</v>
      </c>
      <c r="B1165" t="s">
        <v>3639</v>
      </c>
    </row>
    <row r="1166" spans="1:2">
      <c r="A1166" t="s">
        <v>3640</v>
      </c>
      <c r="B1166" t="s">
        <v>3620</v>
      </c>
    </row>
    <row r="1167" spans="1:2">
      <c r="A1167" t="s">
        <v>3641</v>
      </c>
      <c r="B1167" t="s">
        <v>3642</v>
      </c>
    </row>
    <row r="1168" spans="1:2">
      <c r="A1168" t="s">
        <v>3643</v>
      </c>
      <c r="B1168" t="s">
        <v>3621</v>
      </c>
    </row>
    <row r="1169" spans="1:2">
      <c r="A1169" t="s">
        <v>3644</v>
      </c>
      <c r="B1169" t="s">
        <v>3645</v>
      </c>
    </row>
    <row r="1170" spans="1:2">
      <c r="A1170" t="s">
        <v>2933</v>
      </c>
      <c r="B1170" t="s">
        <v>536</v>
      </c>
    </row>
    <row r="1171" spans="1:2">
      <c r="A1171" t="s">
        <v>2934</v>
      </c>
      <c r="B1171" t="s">
        <v>537</v>
      </c>
    </row>
    <row r="1172" spans="1:2">
      <c r="A1172" t="s">
        <v>2935</v>
      </c>
      <c r="B1172" t="s">
        <v>3374</v>
      </c>
    </row>
    <row r="1173" spans="1:2">
      <c r="A1173" t="s">
        <v>2936</v>
      </c>
      <c r="B1173">
        <v>9001001</v>
      </c>
    </row>
    <row r="1174" spans="1:2">
      <c r="A1174" t="s">
        <v>2937</v>
      </c>
      <c r="B1174" t="s">
        <v>539</v>
      </c>
    </row>
    <row r="1175" spans="1:2">
      <c r="A1175" t="s">
        <v>2938</v>
      </c>
      <c r="B1175" t="s">
        <v>540</v>
      </c>
    </row>
    <row r="1176" spans="1:2">
      <c r="A1176" t="s">
        <v>2939</v>
      </c>
      <c r="B1176" t="s">
        <v>3375</v>
      </c>
    </row>
    <row r="1177" spans="1:2">
      <c r="A1177" t="s">
        <v>2940</v>
      </c>
      <c r="B1177">
        <v>9001002</v>
      </c>
    </row>
    <row r="1178" spans="1:2">
      <c r="A1178" t="s">
        <v>2941</v>
      </c>
      <c r="B1178" t="s">
        <v>523</v>
      </c>
    </row>
    <row r="1179" spans="1:2">
      <c r="A1179" t="s">
        <v>2942</v>
      </c>
      <c r="B1179" t="s">
        <v>524</v>
      </c>
    </row>
    <row r="1180" spans="1:2">
      <c r="A1180" t="s">
        <v>2943</v>
      </c>
      <c r="B1180" t="s">
        <v>3376</v>
      </c>
    </row>
    <row r="1181" spans="1:2">
      <c r="A1181" t="s">
        <v>2944</v>
      </c>
      <c r="B1181">
        <v>9001003</v>
      </c>
    </row>
    <row r="1182" spans="1:2">
      <c r="A1182" t="s">
        <v>2945</v>
      </c>
      <c r="B1182" t="s">
        <v>593</v>
      </c>
    </row>
    <row r="1183" spans="1:2">
      <c r="A1183" t="s">
        <v>2946</v>
      </c>
      <c r="B1183" t="s">
        <v>594</v>
      </c>
    </row>
    <row r="1184" spans="1:2">
      <c r="A1184" t="s">
        <v>2947</v>
      </c>
      <c r="B1184" t="s">
        <v>3377</v>
      </c>
    </row>
    <row r="1185" spans="1:2">
      <c r="A1185" t="s">
        <v>2948</v>
      </c>
      <c r="B1185">
        <v>9001004</v>
      </c>
    </row>
    <row r="1186" spans="1:2">
      <c r="A1186" t="s">
        <v>2949</v>
      </c>
      <c r="B1186" t="s">
        <v>576</v>
      </c>
    </row>
    <row r="1187" spans="1:2">
      <c r="A1187" t="s">
        <v>2950</v>
      </c>
      <c r="B1187" t="s">
        <v>577</v>
      </c>
    </row>
    <row r="1188" spans="1:2">
      <c r="A1188" t="s">
        <v>2951</v>
      </c>
      <c r="B1188" t="s">
        <v>3378</v>
      </c>
    </row>
    <row r="1189" spans="1:2">
      <c r="A1189" t="s">
        <v>2952</v>
      </c>
      <c r="B1189">
        <v>9001005</v>
      </c>
    </row>
    <row r="1190" spans="1:2">
      <c r="A1190" t="s">
        <v>2953</v>
      </c>
      <c r="B1190" t="s">
        <v>94</v>
      </c>
    </row>
    <row r="1191" spans="1:2">
      <c r="A1191" t="s">
        <v>2954</v>
      </c>
      <c r="B1191" t="s">
        <v>360</v>
      </c>
    </row>
    <row r="1192" spans="1:2">
      <c r="A1192" t="s">
        <v>2955</v>
      </c>
      <c r="B1192" t="s">
        <v>481</v>
      </c>
    </row>
    <row r="1193" spans="1:2">
      <c r="A1193" t="s">
        <v>2956</v>
      </c>
      <c r="B1193">
        <v>9001006</v>
      </c>
    </row>
    <row r="1194" spans="1:2">
      <c r="A1194" t="s">
        <v>2957</v>
      </c>
      <c r="B1194" t="s">
        <v>509</v>
      </c>
    </row>
    <row r="1195" spans="1:2">
      <c r="A1195" t="s">
        <v>2958</v>
      </c>
      <c r="B1195" t="s">
        <v>510</v>
      </c>
    </row>
    <row r="1196" spans="1:2">
      <c r="A1196" t="s">
        <v>2959</v>
      </c>
      <c r="B1196" t="s">
        <v>3379</v>
      </c>
    </row>
    <row r="1197" spans="1:2">
      <c r="A1197" t="s">
        <v>2960</v>
      </c>
      <c r="B1197">
        <v>9001007</v>
      </c>
    </row>
    <row r="1198" spans="1:2">
      <c r="A1198" t="s">
        <v>2961</v>
      </c>
      <c r="B1198" t="s">
        <v>152</v>
      </c>
    </row>
    <row r="1199" spans="1:2">
      <c r="A1199" t="s">
        <v>2962</v>
      </c>
      <c r="B1199" t="s">
        <v>513</v>
      </c>
    </row>
    <row r="1200" spans="1:2">
      <c r="A1200" t="s">
        <v>2963</v>
      </c>
      <c r="B1200" t="s">
        <v>495</v>
      </c>
    </row>
    <row r="1201" spans="1:2">
      <c r="A1201" t="s">
        <v>2964</v>
      </c>
      <c r="B1201">
        <v>9001008</v>
      </c>
    </row>
    <row r="1202" spans="1:2">
      <c r="A1202" t="s">
        <v>2965</v>
      </c>
      <c r="B1202" t="s">
        <v>2287</v>
      </c>
    </row>
    <row r="1203" spans="1:2">
      <c r="A1203" t="s">
        <v>2966</v>
      </c>
      <c r="B1203" t="s">
        <v>2525</v>
      </c>
    </row>
    <row r="1204" spans="1:2">
      <c r="A1204" t="s">
        <v>2967</v>
      </c>
      <c r="B1204" t="s">
        <v>2527</v>
      </c>
    </row>
    <row r="1205" spans="1:2">
      <c r="A1205" t="s">
        <v>2968</v>
      </c>
      <c r="B1205">
        <v>9001009</v>
      </c>
    </row>
    <row r="1206" spans="1:2">
      <c r="A1206" t="s">
        <v>3452</v>
      </c>
      <c r="B1206" t="s">
        <v>137</v>
      </c>
    </row>
    <row r="1207" spans="1:2">
      <c r="A1207" t="s">
        <v>3453</v>
      </c>
      <c r="B1207" t="s">
        <v>608</v>
      </c>
    </row>
    <row r="1208" spans="1:2">
      <c r="A1208" t="s">
        <v>3454</v>
      </c>
      <c r="B1208" t="s">
        <v>3380</v>
      </c>
    </row>
    <row r="1209" spans="1:2">
      <c r="A1209" t="s">
        <v>3455</v>
      </c>
      <c r="B1209">
        <v>9004001</v>
      </c>
    </row>
    <row r="1210" spans="1:2">
      <c r="A1210" t="s">
        <v>3456</v>
      </c>
      <c r="B1210" t="s">
        <v>136</v>
      </c>
    </row>
    <row r="1211" spans="1:2">
      <c r="A1211" t="s">
        <v>3457</v>
      </c>
      <c r="B1211" t="s">
        <v>623</v>
      </c>
    </row>
    <row r="1212" spans="1:2">
      <c r="A1212" t="s">
        <v>3458</v>
      </c>
      <c r="B1212" t="s">
        <v>3381</v>
      </c>
    </row>
    <row r="1213" spans="1:2">
      <c r="A1213" t="s">
        <v>3459</v>
      </c>
      <c r="B1213">
        <v>9004002</v>
      </c>
    </row>
    <row r="1214" spans="1:2">
      <c r="A1214" t="s">
        <v>3460</v>
      </c>
      <c r="B1214" t="s">
        <v>140</v>
      </c>
    </row>
    <row r="1215" spans="1:2">
      <c r="A1215" t="s">
        <v>3461</v>
      </c>
      <c r="B1215" t="s">
        <v>584</v>
      </c>
    </row>
    <row r="1216" spans="1:2">
      <c r="A1216" t="s">
        <v>3462</v>
      </c>
      <c r="B1216" t="s">
        <v>3382</v>
      </c>
    </row>
    <row r="1217" spans="1:2">
      <c r="A1217" t="s">
        <v>3463</v>
      </c>
      <c r="B1217">
        <v>9004003</v>
      </c>
    </row>
    <row r="1218" spans="1:2">
      <c r="A1218" t="s">
        <v>3464</v>
      </c>
      <c r="B1218" t="s">
        <v>554</v>
      </c>
    </row>
    <row r="1219" spans="1:2">
      <c r="A1219" t="s">
        <v>3465</v>
      </c>
      <c r="B1219" t="s">
        <v>555</v>
      </c>
    </row>
    <row r="1220" spans="1:2">
      <c r="A1220" t="s">
        <v>3466</v>
      </c>
      <c r="B1220" t="s">
        <v>3383</v>
      </c>
    </row>
    <row r="1221" spans="1:2">
      <c r="A1221" t="s">
        <v>3467</v>
      </c>
      <c r="B1221">
        <v>9004004</v>
      </c>
    </row>
    <row r="1222" spans="1:2">
      <c r="A1222" t="s">
        <v>3468</v>
      </c>
      <c r="B1222" t="s">
        <v>527</v>
      </c>
    </row>
    <row r="1223" spans="1:2">
      <c r="A1223" t="s">
        <v>3469</v>
      </c>
      <c r="B1223" t="s">
        <v>528</v>
      </c>
    </row>
    <row r="1224" spans="1:2">
      <c r="A1224" t="s">
        <v>3470</v>
      </c>
      <c r="B1224" t="s">
        <v>3384</v>
      </c>
    </row>
    <row r="1225" spans="1:2">
      <c r="A1225" t="s">
        <v>3471</v>
      </c>
      <c r="B1225">
        <v>9004005</v>
      </c>
    </row>
    <row r="1226" spans="1:2">
      <c r="A1226" t="s">
        <v>3472</v>
      </c>
      <c r="B1226" t="s">
        <v>138</v>
      </c>
    </row>
    <row r="1227" spans="1:2">
      <c r="A1227" t="s">
        <v>3473</v>
      </c>
      <c r="B1227" t="s">
        <v>613</v>
      </c>
    </row>
    <row r="1228" spans="1:2">
      <c r="A1228" t="s">
        <v>3474</v>
      </c>
      <c r="B1228" t="s">
        <v>3385</v>
      </c>
    </row>
    <row r="1229" spans="1:2">
      <c r="A1229" t="s">
        <v>3475</v>
      </c>
      <c r="B1229">
        <v>9004006</v>
      </c>
    </row>
    <row r="1230" spans="1:2">
      <c r="A1230" t="s">
        <v>3476</v>
      </c>
      <c r="B1230" t="s">
        <v>590</v>
      </c>
    </row>
    <row r="1231" spans="1:2">
      <c r="A1231" t="s">
        <v>3477</v>
      </c>
      <c r="B1231" t="s">
        <v>591</v>
      </c>
    </row>
    <row r="1232" spans="1:2">
      <c r="A1232" t="s">
        <v>3478</v>
      </c>
      <c r="B1232" t="s">
        <v>3386</v>
      </c>
    </row>
    <row r="1233" spans="1:2">
      <c r="A1233" t="s">
        <v>3479</v>
      </c>
      <c r="B1233">
        <v>9004007</v>
      </c>
    </row>
    <row r="1234" spans="1:2">
      <c r="A1234" t="s">
        <v>3480</v>
      </c>
      <c r="B1234" t="s">
        <v>156</v>
      </c>
    </row>
    <row r="1235" spans="1:2">
      <c r="A1235" t="s">
        <v>3481</v>
      </c>
      <c r="B1235" t="s">
        <v>587</v>
      </c>
    </row>
    <row r="1236" spans="1:2">
      <c r="A1236" t="s">
        <v>3482</v>
      </c>
      <c r="B1236" t="s">
        <v>3387</v>
      </c>
    </row>
    <row r="1237" spans="1:2">
      <c r="A1237" t="s">
        <v>3483</v>
      </c>
      <c r="B1237">
        <v>9004008</v>
      </c>
    </row>
    <row r="1238" spans="1:2">
      <c r="A1238" t="s">
        <v>3484</v>
      </c>
      <c r="B1238" t="s">
        <v>558</v>
      </c>
    </row>
    <row r="1239" spans="1:2">
      <c r="A1239" t="s">
        <v>3485</v>
      </c>
      <c r="B1239" t="s">
        <v>559</v>
      </c>
    </row>
    <row r="1240" spans="1:2">
      <c r="A1240" t="s">
        <v>3486</v>
      </c>
      <c r="B1240" t="s">
        <v>3388</v>
      </c>
    </row>
    <row r="1241" spans="1:2">
      <c r="A1241" t="s">
        <v>3487</v>
      </c>
      <c r="B1241">
        <v>9004009</v>
      </c>
    </row>
    <row r="1242" spans="1:2">
      <c r="A1242" t="s">
        <v>3488</v>
      </c>
      <c r="B1242" t="s">
        <v>543</v>
      </c>
    </row>
    <row r="1243" spans="1:2">
      <c r="A1243" t="s">
        <v>3489</v>
      </c>
      <c r="B1243" t="s">
        <v>544</v>
      </c>
    </row>
    <row r="1244" spans="1:2">
      <c r="A1244" t="s">
        <v>3490</v>
      </c>
      <c r="B1244" t="s">
        <v>3389</v>
      </c>
    </row>
    <row r="1245" spans="1:2">
      <c r="A1245" t="s">
        <v>3491</v>
      </c>
      <c r="B1245">
        <v>9004010</v>
      </c>
    </row>
    <row r="1246" spans="1:2">
      <c r="A1246" t="s">
        <v>3492</v>
      </c>
      <c r="B1246" t="s">
        <v>547</v>
      </c>
    </row>
    <row r="1247" spans="1:2">
      <c r="A1247" t="s">
        <v>3493</v>
      </c>
      <c r="B1247" t="s">
        <v>548</v>
      </c>
    </row>
    <row r="1248" spans="1:2">
      <c r="A1248" t="s">
        <v>3494</v>
      </c>
      <c r="B1248" t="s">
        <v>3390</v>
      </c>
    </row>
    <row r="1249" spans="1:2">
      <c r="A1249" t="s">
        <v>3495</v>
      </c>
      <c r="B1249">
        <v>9004011</v>
      </c>
    </row>
    <row r="1250" spans="1:2">
      <c r="A1250" t="s">
        <v>3496</v>
      </c>
      <c r="B1250" t="s">
        <v>550</v>
      </c>
    </row>
    <row r="1251" spans="1:2">
      <c r="A1251" t="s">
        <v>3497</v>
      </c>
      <c r="B1251" t="s">
        <v>551</v>
      </c>
    </row>
    <row r="1252" spans="1:2">
      <c r="A1252" t="s">
        <v>3498</v>
      </c>
      <c r="B1252" t="s">
        <v>3391</v>
      </c>
    </row>
    <row r="1253" spans="1:2">
      <c r="A1253" t="s">
        <v>3499</v>
      </c>
      <c r="B1253">
        <v>9004012</v>
      </c>
    </row>
    <row r="1254" spans="1:2">
      <c r="A1254" t="s">
        <v>2969</v>
      </c>
      <c r="B1254" t="s">
        <v>2660</v>
      </c>
    </row>
    <row r="1255" spans="1:2">
      <c r="A1255" t="s">
        <v>2970</v>
      </c>
      <c r="B1255" t="s">
        <v>498</v>
      </c>
    </row>
    <row r="1256" spans="1:2">
      <c r="A1256" t="s">
        <v>2971</v>
      </c>
      <c r="B1256" t="s">
        <v>2662</v>
      </c>
    </row>
    <row r="1257" spans="1:2">
      <c r="A1257" t="s">
        <v>2972</v>
      </c>
      <c r="B1257" t="s">
        <v>499</v>
      </c>
    </row>
    <row r="1258" spans="1:2">
      <c r="A1258" t="s">
        <v>2973</v>
      </c>
      <c r="B1258" t="s">
        <v>2664</v>
      </c>
    </row>
    <row r="1259" spans="1:2">
      <c r="A1259" t="s">
        <v>2974</v>
      </c>
      <c r="B1259" t="s">
        <v>500</v>
      </c>
    </row>
    <row r="1260" spans="1:2">
      <c r="A1260" t="s">
        <v>2975</v>
      </c>
      <c r="B1260" t="s">
        <v>149</v>
      </c>
    </row>
    <row r="1261" spans="1:2">
      <c r="A1261" t="s">
        <v>2976</v>
      </c>
      <c r="B1261" t="s">
        <v>3430</v>
      </c>
    </row>
    <row r="1262" spans="1:2">
      <c r="A1262" t="s">
        <v>2977</v>
      </c>
      <c r="B1262" t="s">
        <v>2978</v>
      </c>
    </row>
    <row r="1263" spans="1:2">
      <c r="A1263" t="s">
        <v>2979</v>
      </c>
      <c r="B1263" t="s">
        <v>3432</v>
      </c>
    </row>
    <row r="1264" spans="1:2">
      <c r="A1264" t="s">
        <v>2980</v>
      </c>
      <c r="B1264" t="s">
        <v>142</v>
      </c>
    </row>
    <row r="1265" spans="1:2">
      <c r="A1265" t="s">
        <v>2981</v>
      </c>
      <c r="B1265" t="s">
        <v>501</v>
      </c>
    </row>
    <row r="1266" spans="1:2">
      <c r="A1266" t="s">
        <v>2982</v>
      </c>
      <c r="B1266" t="s">
        <v>143</v>
      </c>
    </row>
    <row r="1267" spans="1:2">
      <c r="A1267" t="s">
        <v>2983</v>
      </c>
      <c r="B1267" t="s">
        <v>502</v>
      </c>
    </row>
    <row r="1268" spans="1:2">
      <c r="A1268" t="s">
        <v>2984</v>
      </c>
      <c r="B1268" t="s">
        <v>144</v>
      </c>
    </row>
    <row r="1269" spans="1:2">
      <c r="A1269" t="s">
        <v>2985</v>
      </c>
      <c r="B1269" t="s">
        <v>503</v>
      </c>
    </row>
    <row r="1270" spans="1:2">
      <c r="A1270" t="s">
        <v>2986</v>
      </c>
      <c r="B1270" t="s">
        <v>145</v>
      </c>
    </row>
    <row r="1271" spans="1:2">
      <c r="A1271" t="s">
        <v>2987</v>
      </c>
      <c r="B1271" t="s">
        <v>504</v>
      </c>
    </row>
    <row r="1272" spans="1:2">
      <c r="A1272" t="s">
        <v>2988</v>
      </c>
      <c r="B1272" t="s">
        <v>146</v>
      </c>
    </row>
    <row r="1273" spans="1:2">
      <c r="A1273" t="s">
        <v>2989</v>
      </c>
      <c r="B1273" t="s">
        <v>505</v>
      </c>
    </row>
    <row r="1274" spans="1:2">
      <c r="A1274" t="s">
        <v>2990</v>
      </c>
      <c r="B1274" t="s">
        <v>147</v>
      </c>
    </row>
    <row r="1275" spans="1:2">
      <c r="A1275" t="s">
        <v>2991</v>
      </c>
      <c r="B1275" t="s">
        <v>506</v>
      </c>
    </row>
    <row r="1276" spans="1:2">
      <c r="A1276" t="s">
        <v>2992</v>
      </c>
      <c r="B1276" t="s">
        <v>148</v>
      </c>
    </row>
    <row r="1277" spans="1:2">
      <c r="A1277" t="s">
        <v>2993</v>
      </c>
      <c r="B1277" t="s">
        <v>507</v>
      </c>
    </row>
    <row r="1278" spans="1:2">
      <c r="A1278" t="s">
        <v>3646</v>
      </c>
      <c r="B1278" t="s">
        <v>3187</v>
      </c>
    </row>
    <row r="1279" spans="1:2">
      <c r="A1279" t="s">
        <v>3647</v>
      </c>
      <c r="B1279" t="s">
        <v>3191</v>
      </c>
    </row>
    <row r="1280" spans="1:2">
      <c r="A1280" t="s">
        <v>3648</v>
      </c>
      <c r="B1280" t="s">
        <v>3189</v>
      </c>
    </row>
    <row r="1281" spans="1:2">
      <c r="A1281" t="s">
        <v>3649</v>
      </c>
      <c r="B1281" t="s">
        <v>3193</v>
      </c>
    </row>
    <row r="1282" spans="1:2">
      <c r="A1282" t="s">
        <v>3650</v>
      </c>
      <c r="B1282" t="s">
        <v>149</v>
      </c>
    </row>
    <row r="1283" spans="1:2">
      <c r="A1283" t="s">
        <v>3651</v>
      </c>
      <c r="B1283" t="s">
        <v>3608</v>
      </c>
    </row>
    <row r="1284" spans="1:2">
      <c r="A1284" t="s">
        <v>3652</v>
      </c>
      <c r="B1284" t="s">
        <v>3195</v>
      </c>
    </row>
    <row r="1285" spans="1:2">
      <c r="A1285" t="s">
        <v>3653</v>
      </c>
      <c r="B1285" t="s">
        <v>3609</v>
      </c>
    </row>
    <row r="1286" spans="1:2">
      <c r="A1286" t="s">
        <v>3654</v>
      </c>
      <c r="B1286" t="s">
        <v>3196</v>
      </c>
    </row>
    <row r="1287" spans="1:2">
      <c r="A1287" t="s">
        <v>3655</v>
      </c>
      <c r="B1287" t="s">
        <v>3610</v>
      </c>
    </row>
    <row r="1288" spans="1:2">
      <c r="A1288" t="s">
        <v>3656</v>
      </c>
      <c r="B1288" t="s">
        <v>3197</v>
      </c>
    </row>
    <row r="1289" spans="1:2">
      <c r="A1289" t="s">
        <v>3657</v>
      </c>
      <c r="B1289" t="s">
        <v>3611</v>
      </c>
    </row>
    <row r="1290" spans="1:2">
      <c r="A1290" t="s">
        <v>3658</v>
      </c>
      <c r="B1290" t="s">
        <v>3617</v>
      </c>
    </row>
    <row r="1291" spans="1:2">
      <c r="A1291" t="s">
        <v>3659</v>
      </c>
      <c r="B1291" t="s">
        <v>3612</v>
      </c>
    </row>
    <row r="1292" spans="1:2">
      <c r="A1292" t="s">
        <v>3211</v>
      </c>
      <c r="B1292" t="s">
        <v>3198</v>
      </c>
    </row>
    <row r="1293" spans="1:2">
      <c r="A1293" t="s">
        <v>3212</v>
      </c>
      <c r="B1293" t="s">
        <v>3209</v>
      </c>
    </row>
    <row r="1294" spans="1:2">
      <c r="A1294" t="s">
        <v>3213</v>
      </c>
      <c r="B1294" t="s">
        <v>149</v>
      </c>
    </row>
    <row r="1295" spans="1:2">
      <c r="A1295" t="s">
        <v>3214</v>
      </c>
      <c r="B1295" t="s">
        <v>3201</v>
      </c>
    </row>
    <row r="1296" spans="1:2">
      <c r="A1296" t="s">
        <v>3215</v>
      </c>
      <c r="B1296" t="s">
        <v>3195</v>
      </c>
    </row>
    <row r="1297" spans="1:2">
      <c r="A1297" t="s">
        <v>3216</v>
      </c>
      <c r="B1297" t="s">
        <v>3203</v>
      </c>
    </row>
    <row r="1298" spans="1:2">
      <c r="A1298" t="s">
        <v>3217</v>
      </c>
      <c r="B1298" t="s">
        <v>3196</v>
      </c>
    </row>
    <row r="1299" spans="1:2">
      <c r="A1299" t="s">
        <v>3218</v>
      </c>
      <c r="B1299" t="s">
        <v>3205</v>
      </c>
    </row>
    <row r="1300" spans="1:2">
      <c r="A1300" t="s">
        <v>3219</v>
      </c>
      <c r="B1300" t="s">
        <v>3197</v>
      </c>
    </row>
    <row r="1301" spans="1:2">
      <c r="A1301" t="s">
        <v>3220</v>
      </c>
      <c r="B1301" t="s">
        <v>3207</v>
      </c>
    </row>
    <row r="1302" spans="1:2">
      <c r="A1302" t="s">
        <v>3221</v>
      </c>
      <c r="B1302" t="s">
        <v>3434</v>
      </c>
    </row>
    <row r="1303" spans="1:2">
      <c r="A1303" t="s">
        <v>3222</v>
      </c>
      <c r="B1303" t="s">
        <v>3199</v>
      </c>
    </row>
    <row r="1304" spans="1:2">
      <c r="A1304" t="s">
        <v>687</v>
      </c>
      <c r="B1304" t="s">
        <v>51</v>
      </c>
    </row>
    <row r="1305" spans="1:2">
      <c r="A1305" t="s">
        <v>688</v>
      </c>
      <c r="B1305" t="s">
        <v>175</v>
      </c>
    </row>
    <row r="1306" spans="1:2">
      <c r="A1306" t="s">
        <v>689</v>
      </c>
      <c r="B1306" t="s">
        <v>176</v>
      </c>
    </row>
    <row r="1307" spans="1:2">
      <c r="A1307" t="s">
        <v>690</v>
      </c>
      <c r="B1307" t="s">
        <v>419</v>
      </c>
    </row>
    <row r="1308" spans="1:2">
      <c r="A1308" t="s">
        <v>691</v>
      </c>
      <c r="B1308" t="s">
        <v>177</v>
      </c>
    </row>
    <row r="1309" spans="1:2">
      <c r="A1309" t="s">
        <v>692</v>
      </c>
      <c r="B1309" t="s">
        <v>178</v>
      </c>
    </row>
    <row r="1310" spans="1:2">
      <c r="A1310" t="s">
        <v>693</v>
      </c>
      <c r="B1310" t="s">
        <v>1962</v>
      </c>
    </row>
    <row r="1311" spans="1:2">
      <c r="A1311" t="s">
        <v>2495</v>
      </c>
      <c r="B1311" t="s">
        <v>2625</v>
      </c>
    </row>
    <row r="1312" spans="1:2">
      <c r="A1312" t="s">
        <v>1977</v>
      </c>
      <c r="B1312" t="s">
        <v>1902</v>
      </c>
    </row>
    <row r="1313" spans="1:2">
      <c r="A1313" t="s">
        <v>1978</v>
      </c>
      <c r="B1313" t="s">
        <v>1900</v>
      </c>
    </row>
    <row r="1314" spans="1:2">
      <c r="A1314" t="s">
        <v>1979</v>
      </c>
      <c r="B1314"/>
    </row>
    <row r="1315" spans="1:2">
      <c r="A1315" t="s">
        <v>2994</v>
      </c>
      <c r="B1315" t="s">
        <v>311</v>
      </c>
    </row>
    <row r="1316" spans="1:2">
      <c r="A1316" t="s">
        <v>1214</v>
      </c>
      <c r="B1316" t="s">
        <v>67</v>
      </c>
    </row>
    <row r="1317" spans="1:2">
      <c r="A1317" t="s">
        <v>1215</v>
      </c>
      <c r="B1317" t="s">
        <v>245</v>
      </c>
    </row>
    <row r="1318" spans="1:2">
      <c r="A1318" t="s">
        <v>1216</v>
      </c>
      <c r="B1318" t="s">
        <v>246</v>
      </c>
    </row>
    <row r="1319" spans="1:2">
      <c r="A1319" t="s">
        <v>1217</v>
      </c>
      <c r="B1319" t="s">
        <v>453</v>
      </c>
    </row>
    <row r="1320" spans="1:2">
      <c r="A1320" t="s">
        <v>1218</v>
      </c>
      <c r="B1320" t="s">
        <v>247</v>
      </c>
    </row>
    <row r="1321" spans="1:2">
      <c r="A1321" t="s">
        <v>1219</v>
      </c>
      <c r="B1321" t="s">
        <v>248</v>
      </c>
    </row>
    <row r="1322" spans="1:2">
      <c r="A1322" t="s">
        <v>1220</v>
      </c>
      <c r="B1322" t="s">
        <v>1962</v>
      </c>
    </row>
    <row r="1323" spans="1:2">
      <c r="A1323" t="s">
        <v>2496</v>
      </c>
      <c r="B1323" t="s">
        <v>2626</v>
      </c>
    </row>
    <row r="1324" spans="1:2">
      <c r="A1324" t="s">
        <v>1980</v>
      </c>
      <c r="B1324"/>
    </row>
    <row r="1325" spans="1:2">
      <c r="A1325" t="s">
        <v>1981</v>
      </c>
      <c r="B1325" t="s">
        <v>1900</v>
      </c>
    </row>
    <row r="1326" spans="1:2">
      <c r="A1326" t="s">
        <v>1982</v>
      </c>
      <c r="B1326"/>
    </row>
    <row r="1327" spans="1:2">
      <c r="A1327" t="s">
        <v>2995</v>
      </c>
      <c r="B1327" t="s">
        <v>179</v>
      </c>
    </row>
    <row r="1328" spans="1:2">
      <c r="A1328" t="s">
        <v>1221</v>
      </c>
      <c r="B1328" t="s">
        <v>82</v>
      </c>
    </row>
    <row r="1329" spans="1:2">
      <c r="A1329" t="s">
        <v>1222</v>
      </c>
      <c r="B1329" t="s">
        <v>312</v>
      </c>
    </row>
    <row r="1330" spans="1:2">
      <c r="A1330" t="s">
        <v>1223</v>
      </c>
      <c r="B1330" t="s">
        <v>313</v>
      </c>
    </row>
    <row r="1331" spans="1:2">
      <c r="A1331" t="s">
        <v>1224</v>
      </c>
      <c r="B1331" t="s">
        <v>469</v>
      </c>
    </row>
    <row r="1332" spans="1:2">
      <c r="A1332" t="s">
        <v>1225</v>
      </c>
      <c r="B1332" t="s">
        <v>314</v>
      </c>
    </row>
    <row r="1333" spans="1:2">
      <c r="A1333" t="s">
        <v>1226</v>
      </c>
      <c r="B1333" t="s">
        <v>315</v>
      </c>
    </row>
    <row r="1334" spans="1:2">
      <c r="A1334" t="s">
        <v>1227</v>
      </c>
      <c r="B1334" t="s">
        <v>111</v>
      </c>
    </row>
    <row r="1335" spans="1:2">
      <c r="A1335" t="s">
        <v>2497</v>
      </c>
      <c r="B1335" t="s">
        <v>2627</v>
      </c>
    </row>
    <row r="1336" spans="1:2">
      <c r="A1336" t="s">
        <v>1983</v>
      </c>
      <c r="B1336"/>
    </row>
    <row r="1337" spans="1:2">
      <c r="A1337" t="s">
        <v>1984</v>
      </c>
      <c r="B1337"/>
    </row>
    <row r="1338" spans="1:2">
      <c r="A1338" t="s">
        <v>1985</v>
      </c>
      <c r="B1338" t="s">
        <v>1901</v>
      </c>
    </row>
    <row r="1339" spans="1:2">
      <c r="A1339" t="s">
        <v>2996</v>
      </c>
      <c r="B1339" t="s">
        <v>179</v>
      </c>
    </row>
    <row r="1340" spans="1:2">
      <c r="A1340" t="s">
        <v>1228</v>
      </c>
      <c r="B1340" t="s">
        <v>141</v>
      </c>
    </row>
    <row r="1341" spans="1:2">
      <c r="A1341" t="s">
        <v>1229</v>
      </c>
      <c r="B1341" t="s">
        <v>2498</v>
      </c>
    </row>
    <row r="1342" spans="1:2">
      <c r="A1342" t="s">
        <v>1230</v>
      </c>
      <c r="B1342" t="s">
        <v>508</v>
      </c>
    </row>
    <row r="1343" spans="1:2">
      <c r="A1343" t="s">
        <v>1231</v>
      </c>
      <c r="B1343" t="s">
        <v>3393</v>
      </c>
    </row>
    <row r="1344" spans="1:2">
      <c r="A1344" t="s">
        <v>1232</v>
      </c>
      <c r="B1344" t="s">
        <v>3331</v>
      </c>
    </row>
    <row r="1345" spans="1:2">
      <c r="A1345" t="s">
        <v>1233</v>
      </c>
      <c r="B1345" t="s">
        <v>2499</v>
      </c>
    </row>
    <row r="1346" spans="1:2">
      <c r="A1346" t="s">
        <v>1234</v>
      </c>
      <c r="B1346" t="s">
        <v>1963</v>
      </c>
    </row>
    <row r="1347" spans="1:2">
      <c r="A1347" t="s">
        <v>2500</v>
      </c>
      <c r="B1347" t="s">
        <v>2628</v>
      </c>
    </row>
    <row r="1348" spans="1:2">
      <c r="A1348" t="s">
        <v>1986</v>
      </c>
      <c r="B1348"/>
    </row>
    <row r="1349" spans="1:2">
      <c r="A1349" t="s">
        <v>1987</v>
      </c>
      <c r="B1349"/>
    </row>
    <row r="1350" spans="1:2">
      <c r="A1350" t="s">
        <v>1988</v>
      </c>
      <c r="B1350"/>
    </row>
    <row r="1351" spans="1:2">
      <c r="A1351" t="s">
        <v>2997</v>
      </c>
      <c r="B1351" t="s">
        <v>179</v>
      </c>
    </row>
    <row r="1352" spans="1:2">
      <c r="A1352" t="s">
        <v>1235</v>
      </c>
      <c r="B1352" t="s">
        <v>150</v>
      </c>
    </row>
    <row r="1353" spans="1:2">
      <c r="A1353" t="s">
        <v>1236</v>
      </c>
      <c r="B1353" t="s">
        <v>2622</v>
      </c>
    </row>
    <row r="1354" spans="1:2">
      <c r="A1354" t="s">
        <v>1237</v>
      </c>
      <c r="B1354" t="s">
        <v>2623</v>
      </c>
    </row>
    <row r="1355" spans="1:2">
      <c r="A1355" t="s">
        <v>1238</v>
      </c>
      <c r="B1355" t="s">
        <v>3394</v>
      </c>
    </row>
    <row r="1356" spans="1:2">
      <c r="A1356" t="s">
        <v>1239</v>
      </c>
      <c r="B1356" t="s">
        <v>3332</v>
      </c>
    </row>
    <row r="1357" spans="1:2">
      <c r="A1357" t="s">
        <v>1240</v>
      </c>
      <c r="B1357" t="s">
        <v>2624</v>
      </c>
    </row>
    <row r="1358" spans="1:2">
      <c r="A1358" t="s">
        <v>1241</v>
      </c>
      <c r="B1358" t="s">
        <v>1964</v>
      </c>
    </row>
    <row r="1359" spans="1:2">
      <c r="A1359" t="s">
        <v>2501</v>
      </c>
      <c r="B1359" t="s">
        <v>2629</v>
      </c>
    </row>
    <row r="1360" spans="1:2">
      <c r="A1360" t="s">
        <v>1989</v>
      </c>
      <c r="B1360"/>
    </row>
    <row r="1361" spans="1:2">
      <c r="A1361" t="s">
        <v>1990</v>
      </c>
      <c r="B1361"/>
    </row>
    <row r="1362" spans="1:2">
      <c r="A1362" t="s">
        <v>1991</v>
      </c>
      <c r="B1362"/>
    </row>
    <row r="1363" spans="1:2">
      <c r="A1363" t="s">
        <v>2998</v>
      </c>
      <c r="B1363" t="s">
        <v>179</v>
      </c>
    </row>
    <row r="1364" spans="1:2">
      <c r="A1364" t="s">
        <v>1242</v>
      </c>
      <c r="B1364" t="s">
        <v>52</v>
      </c>
    </row>
    <row r="1365" spans="1:2">
      <c r="A1365" t="s">
        <v>1243</v>
      </c>
      <c r="B1365" t="s">
        <v>180</v>
      </c>
    </row>
    <row r="1366" spans="1:2">
      <c r="A1366" t="s">
        <v>1244</v>
      </c>
      <c r="B1366" t="s">
        <v>181</v>
      </c>
    </row>
    <row r="1367" spans="1:2">
      <c r="A1367" t="s">
        <v>1245</v>
      </c>
      <c r="B1367" t="s">
        <v>420</v>
      </c>
    </row>
    <row r="1368" spans="1:2">
      <c r="A1368" t="s">
        <v>1246</v>
      </c>
      <c r="B1368" t="s">
        <v>182</v>
      </c>
    </row>
    <row r="1369" spans="1:2">
      <c r="A1369" t="s">
        <v>1247</v>
      </c>
      <c r="B1369" t="s">
        <v>183</v>
      </c>
    </row>
    <row r="1370" spans="1:2">
      <c r="A1370" t="s">
        <v>1248</v>
      </c>
      <c r="B1370" t="s">
        <v>1962</v>
      </c>
    </row>
    <row r="1371" spans="1:2">
      <c r="A1371" t="s">
        <v>2502</v>
      </c>
      <c r="B1371" t="s">
        <v>2625</v>
      </c>
    </row>
    <row r="1372" spans="1:2">
      <c r="A1372" t="s">
        <v>1992</v>
      </c>
      <c r="B1372" t="s">
        <v>1902</v>
      </c>
    </row>
    <row r="1373" spans="1:2">
      <c r="A1373" t="s">
        <v>1993</v>
      </c>
      <c r="B1373" t="s">
        <v>1900</v>
      </c>
    </row>
    <row r="1374" spans="1:2">
      <c r="A1374" t="s">
        <v>1994</v>
      </c>
      <c r="B1374"/>
    </row>
    <row r="1375" spans="1:2">
      <c r="A1375" t="s">
        <v>2999</v>
      </c>
      <c r="B1375" t="s">
        <v>184</v>
      </c>
    </row>
    <row r="1376" spans="1:2">
      <c r="A1376" t="s">
        <v>1249</v>
      </c>
      <c r="B1376" t="s">
        <v>83</v>
      </c>
    </row>
    <row r="1377" spans="1:2">
      <c r="A1377" t="s">
        <v>1250</v>
      </c>
      <c r="B1377" t="s">
        <v>316</v>
      </c>
    </row>
    <row r="1378" spans="1:2">
      <c r="A1378" t="s">
        <v>1251</v>
      </c>
      <c r="B1378" t="s">
        <v>317</v>
      </c>
    </row>
    <row r="1379" spans="1:2">
      <c r="A1379" t="s">
        <v>1252</v>
      </c>
      <c r="B1379" t="s">
        <v>470</v>
      </c>
    </row>
    <row r="1380" spans="1:2">
      <c r="A1380" t="s">
        <v>1253</v>
      </c>
      <c r="B1380" t="s">
        <v>318</v>
      </c>
    </row>
    <row r="1381" spans="1:2">
      <c r="A1381" t="s">
        <v>1254</v>
      </c>
      <c r="B1381" t="s">
        <v>319</v>
      </c>
    </row>
    <row r="1382" spans="1:2">
      <c r="A1382" t="s">
        <v>1255</v>
      </c>
      <c r="B1382" t="s">
        <v>1962</v>
      </c>
    </row>
    <row r="1383" spans="1:2">
      <c r="A1383" t="s">
        <v>2503</v>
      </c>
      <c r="B1383" t="s">
        <v>2627</v>
      </c>
    </row>
    <row r="1384" spans="1:2">
      <c r="A1384" t="s">
        <v>1995</v>
      </c>
      <c r="B1384"/>
    </row>
    <row r="1385" spans="1:2">
      <c r="A1385" t="s">
        <v>1996</v>
      </c>
      <c r="B1385"/>
    </row>
    <row r="1386" spans="1:2">
      <c r="A1386" t="s">
        <v>1997</v>
      </c>
      <c r="B1386" t="s">
        <v>1901</v>
      </c>
    </row>
    <row r="1387" spans="1:2">
      <c r="A1387" t="s">
        <v>3000</v>
      </c>
      <c r="B1387" t="s">
        <v>184</v>
      </c>
    </row>
    <row r="1388" spans="1:2">
      <c r="A1388" t="s">
        <v>1256</v>
      </c>
      <c r="B1388" t="s">
        <v>68</v>
      </c>
    </row>
    <row r="1389" spans="1:2">
      <c r="A1389" t="s">
        <v>1257</v>
      </c>
      <c r="B1389" t="s">
        <v>249</v>
      </c>
    </row>
    <row r="1390" spans="1:2">
      <c r="A1390" t="s">
        <v>1258</v>
      </c>
      <c r="B1390" t="s">
        <v>250</v>
      </c>
    </row>
    <row r="1391" spans="1:2">
      <c r="A1391" t="s">
        <v>1259</v>
      </c>
      <c r="B1391" t="s">
        <v>454</v>
      </c>
    </row>
    <row r="1392" spans="1:2">
      <c r="A1392" t="s">
        <v>1260</v>
      </c>
      <c r="B1392" t="s">
        <v>251</v>
      </c>
    </row>
    <row r="1393" spans="1:2">
      <c r="A1393" t="s">
        <v>1261</v>
      </c>
      <c r="B1393" t="s">
        <v>252</v>
      </c>
    </row>
    <row r="1394" spans="1:2">
      <c r="A1394" t="s">
        <v>1262</v>
      </c>
      <c r="B1394" t="s">
        <v>1962</v>
      </c>
    </row>
    <row r="1395" spans="1:2">
      <c r="A1395" t="s">
        <v>2504</v>
      </c>
      <c r="B1395" t="s">
        <v>2626</v>
      </c>
    </row>
    <row r="1396" spans="1:2">
      <c r="A1396" t="s">
        <v>1998</v>
      </c>
      <c r="B1396"/>
    </row>
    <row r="1397" spans="1:2">
      <c r="A1397" t="s">
        <v>1999</v>
      </c>
      <c r="B1397" t="s">
        <v>1900</v>
      </c>
    </row>
    <row r="1398" spans="1:2">
      <c r="A1398" t="s">
        <v>2000</v>
      </c>
      <c r="B1398"/>
    </row>
    <row r="1399" spans="1:2">
      <c r="A1399" t="s">
        <v>3001</v>
      </c>
      <c r="B1399" t="s">
        <v>184</v>
      </c>
    </row>
    <row r="1400" spans="1:2">
      <c r="A1400" t="s">
        <v>1263</v>
      </c>
      <c r="B1400" t="s">
        <v>69</v>
      </c>
    </row>
    <row r="1401" spans="1:2">
      <c r="A1401" t="s">
        <v>1264</v>
      </c>
      <c r="B1401" t="s">
        <v>253</v>
      </c>
    </row>
    <row r="1402" spans="1:2">
      <c r="A1402" t="s">
        <v>1265</v>
      </c>
      <c r="B1402" t="s">
        <v>254</v>
      </c>
    </row>
    <row r="1403" spans="1:2">
      <c r="A1403" t="s">
        <v>1266</v>
      </c>
      <c r="B1403" t="s">
        <v>455</v>
      </c>
    </row>
    <row r="1404" spans="1:2">
      <c r="A1404" t="s">
        <v>1267</v>
      </c>
      <c r="B1404" t="s">
        <v>255</v>
      </c>
    </row>
    <row r="1405" spans="1:2">
      <c r="A1405" t="s">
        <v>1268</v>
      </c>
      <c r="B1405" t="s">
        <v>256</v>
      </c>
    </row>
    <row r="1406" spans="1:2">
      <c r="A1406" t="s">
        <v>1269</v>
      </c>
      <c r="B1406" t="s">
        <v>111</v>
      </c>
    </row>
    <row r="1407" spans="1:2">
      <c r="A1407" t="s">
        <v>2505</v>
      </c>
      <c r="B1407" t="s">
        <v>2630</v>
      </c>
    </row>
    <row r="1408" spans="1:2">
      <c r="A1408" t="s">
        <v>2001</v>
      </c>
      <c r="B1408"/>
    </row>
    <row r="1409" spans="1:2">
      <c r="A1409" t="s">
        <v>2002</v>
      </c>
      <c r="B1409" t="s">
        <v>1900</v>
      </c>
    </row>
    <row r="1410" spans="1:2">
      <c r="A1410" t="s">
        <v>2003</v>
      </c>
      <c r="B1410" t="s">
        <v>1901</v>
      </c>
    </row>
    <row r="1411" spans="1:2">
      <c r="A1411" t="s">
        <v>3002</v>
      </c>
      <c r="B1411" t="s">
        <v>184</v>
      </c>
    </row>
    <row r="1412" spans="1:2">
      <c r="A1412" t="s">
        <v>1270</v>
      </c>
      <c r="B1412" t="s">
        <v>70</v>
      </c>
    </row>
    <row r="1413" spans="1:2">
      <c r="A1413" t="s">
        <v>1271</v>
      </c>
      <c r="B1413" t="s">
        <v>257</v>
      </c>
    </row>
    <row r="1414" spans="1:2">
      <c r="A1414" t="s">
        <v>1272</v>
      </c>
      <c r="B1414" t="s">
        <v>258</v>
      </c>
    </row>
    <row r="1415" spans="1:2">
      <c r="A1415" t="s">
        <v>1273</v>
      </c>
      <c r="B1415" t="s">
        <v>456</v>
      </c>
    </row>
    <row r="1416" spans="1:2">
      <c r="A1416" t="s">
        <v>1274</v>
      </c>
      <c r="B1416" t="s">
        <v>259</v>
      </c>
    </row>
    <row r="1417" spans="1:2">
      <c r="A1417" t="s">
        <v>1275</v>
      </c>
      <c r="B1417" t="s">
        <v>260</v>
      </c>
    </row>
    <row r="1418" spans="1:2">
      <c r="A1418" t="s">
        <v>1276</v>
      </c>
      <c r="B1418" t="s">
        <v>111</v>
      </c>
    </row>
    <row r="1419" spans="1:2">
      <c r="A1419" t="s">
        <v>2506</v>
      </c>
      <c r="B1419" t="s">
        <v>2630</v>
      </c>
    </row>
    <row r="1420" spans="1:2">
      <c r="A1420" t="s">
        <v>2004</v>
      </c>
      <c r="B1420"/>
    </row>
    <row r="1421" spans="1:2">
      <c r="A1421" t="s">
        <v>2005</v>
      </c>
      <c r="B1421" t="s">
        <v>1900</v>
      </c>
    </row>
    <row r="1422" spans="1:2">
      <c r="A1422" t="s">
        <v>2006</v>
      </c>
      <c r="B1422" t="s">
        <v>1901</v>
      </c>
    </row>
    <row r="1423" spans="1:2">
      <c r="A1423" t="s">
        <v>3003</v>
      </c>
      <c r="B1423" t="s">
        <v>184</v>
      </c>
    </row>
    <row r="1424" spans="1:2">
      <c r="A1424" t="s">
        <v>1277</v>
      </c>
      <c r="B1424" t="s">
        <v>509</v>
      </c>
    </row>
    <row r="1425" spans="1:2">
      <c r="A1425" t="s">
        <v>1278</v>
      </c>
      <c r="B1425" t="s">
        <v>510</v>
      </c>
    </row>
    <row r="1426" spans="1:2">
      <c r="A1426" t="s">
        <v>1279</v>
      </c>
      <c r="B1426" t="s">
        <v>511</v>
      </c>
    </row>
    <row r="1427" spans="1:2">
      <c r="A1427" t="s">
        <v>1280</v>
      </c>
      <c r="B1427" t="s">
        <v>3379</v>
      </c>
    </row>
    <row r="1428" spans="1:2">
      <c r="A1428" t="s">
        <v>1281</v>
      </c>
      <c r="B1428" t="s">
        <v>3333</v>
      </c>
    </row>
    <row r="1429" spans="1:2">
      <c r="A1429" t="s">
        <v>1282</v>
      </c>
      <c r="B1429" t="s">
        <v>512</v>
      </c>
    </row>
    <row r="1430" spans="1:2">
      <c r="A1430" t="s">
        <v>1283</v>
      </c>
      <c r="B1430" t="s">
        <v>1965</v>
      </c>
    </row>
    <row r="1431" spans="1:2">
      <c r="A1431" t="s">
        <v>2507</v>
      </c>
      <c r="B1431" t="s">
        <v>2629</v>
      </c>
    </row>
    <row r="1432" spans="1:2">
      <c r="A1432" t="s">
        <v>2007</v>
      </c>
      <c r="B1432"/>
    </row>
    <row r="1433" spans="1:2">
      <c r="A1433" t="s">
        <v>2008</v>
      </c>
      <c r="B1433"/>
    </row>
    <row r="1434" spans="1:2">
      <c r="A1434" t="s">
        <v>2009</v>
      </c>
      <c r="B1434"/>
    </row>
    <row r="1435" spans="1:2">
      <c r="A1435" t="s">
        <v>3004</v>
      </c>
      <c r="B1435" t="s">
        <v>184</v>
      </c>
    </row>
    <row r="1436" spans="1:2">
      <c r="A1436" t="s">
        <v>1284</v>
      </c>
      <c r="B1436" t="s">
        <v>53</v>
      </c>
    </row>
    <row r="1437" spans="1:2">
      <c r="A1437" t="s">
        <v>1285</v>
      </c>
      <c r="B1437" t="s">
        <v>185</v>
      </c>
    </row>
    <row r="1438" spans="1:2">
      <c r="A1438" t="s">
        <v>1286</v>
      </c>
      <c r="B1438" t="s">
        <v>186</v>
      </c>
    </row>
    <row r="1439" spans="1:2">
      <c r="A1439" t="s">
        <v>1287</v>
      </c>
      <c r="B1439" t="s">
        <v>421</v>
      </c>
    </row>
    <row r="1440" spans="1:2">
      <c r="A1440" t="s">
        <v>1288</v>
      </c>
      <c r="B1440" t="s">
        <v>187</v>
      </c>
    </row>
    <row r="1441" spans="1:2">
      <c r="A1441" t="s">
        <v>1289</v>
      </c>
      <c r="B1441" t="s">
        <v>188</v>
      </c>
    </row>
    <row r="1442" spans="1:2">
      <c r="A1442" t="s">
        <v>1290</v>
      </c>
      <c r="B1442" t="s">
        <v>1962</v>
      </c>
    </row>
    <row r="1443" spans="1:2">
      <c r="A1443" t="s">
        <v>2508</v>
      </c>
      <c r="B1443" t="s">
        <v>2631</v>
      </c>
    </row>
    <row r="1444" spans="1:2">
      <c r="A1444" t="s">
        <v>2010</v>
      </c>
      <c r="B1444" t="s">
        <v>1902</v>
      </c>
    </row>
    <row r="1445" spans="1:2">
      <c r="A1445" t="s">
        <v>2011</v>
      </c>
      <c r="B1445" t="s">
        <v>1900</v>
      </c>
    </row>
    <row r="1446" spans="1:2">
      <c r="A1446" t="s">
        <v>2012</v>
      </c>
      <c r="B1446" t="s">
        <v>1901</v>
      </c>
    </row>
    <row r="1447" spans="1:2">
      <c r="A1447" t="s">
        <v>3005</v>
      </c>
      <c r="B1447" t="s">
        <v>184</v>
      </c>
    </row>
    <row r="1448" spans="1:2">
      <c r="A1448" t="s">
        <v>1291</v>
      </c>
      <c r="B1448" t="s">
        <v>54</v>
      </c>
    </row>
    <row r="1449" spans="1:2">
      <c r="A1449" t="s">
        <v>1292</v>
      </c>
      <c r="B1449" t="s">
        <v>189</v>
      </c>
    </row>
    <row r="1450" spans="1:2">
      <c r="A1450" t="s">
        <v>1293</v>
      </c>
      <c r="B1450" t="s">
        <v>190</v>
      </c>
    </row>
    <row r="1451" spans="1:2">
      <c r="A1451" t="s">
        <v>1294</v>
      </c>
      <c r="B1451" t="s">
        <v>422</v>
      </c>
    </row>
    <row r="1452" spans="1:2">
      <c r="A1452" t="s">
        <v>1295</v>
      </c>
      <c r="B1452" t="s">
        <v>191</v>
      </c>
    </row>
    <row r="1453" spans="1:2">
      <c r="A1453" t="s">
        <v>1296</v>
      </c>
      <c r="B1453" t="s">
        <v>192</v>
      </c>
    </row>
    <row r="1454" spans="1:2">
      <c r="A1454" t="s">
        <v>1297</v>
      </c>
      <c r="B1454" t="s">
        <v>1962</v>
      </c>
    </row>
    <row r="1455" spans="1:2">
      <c r="A1455" t="s">
        <v>2509</v>
      </c>
      <c r="B1455" t="s">
        <v>2625</v>
      </c>
    </row>
    <row r="1456" spans="1:2">
      <c r="A1456" t="s">
        <v>2013</v>
      </c>
      <c r="B1456" t="s">
        <v>1902</v>
      </c>
    </row>
    <row r="1457" spans="1:2">
      <c r="A1457" t="s">
        <v>2014</v>
      </c>
      <c r="B1457" t="s">
        <v>1900</v>
      </c>
    </row>
    <row r="1458" spans="1:2">
      <c r="A1458" t="s">
        <v>2015</v>
      </c>
      <c r="B1458"/>
    </row>
    <row r="1459" spans="1:2">
      <c r="A1459" t="s">
        <v>3006</v>
      </c>
      <c r="B1459" t="s">
        <v>184</v>
      </c>
    </row>
    <row r="1460" spans="1:2">
      <c r="A1460" t="s">
        <v>1298</v>
      </c>
      <c r="B1460" t="s">
        <v>55</v>
      </c>
    </row>
    <row r="1461" spans="1:2">
      <c r="A1461" t="s">
        <v>1299</v>
      </c>
      <c r="B1461" t="s">
        <v>193</v>
      </c>
    </row>
    <row r="1462" spans="1:2">
      <c r="A1462" t="s">
        <v>1300</v>
      </c>
      <c r="B1462" t="s">
        <v>2490</v>
      </c>
    </row>
    <row r="1463" spans="1:2">
      <c r="A1463" t="s">
        <v>1301</v>
      </c>
      <c r="B1463" t="s">
        <v>423</v>
      </c>
    </row>
    <row r="1464" spans="1:2">
      <c r="A1464" t="s">
        <v>1302</v>
      </c>
      <c r="B1464" t="s">
        <v>194</v>
      </c>
    </row>
    <row r="1465" spans="1:2">
      <c r="A1465" t="s">
        <v>1303</v>
      </c>
      <c r="B1465" t="s">
        <v>195</v>
      </c>
    </row>
    <row r="1466" spans="1:2">
      <c r="A1466" t="s">
        <v>1304</v>
      </c>
      <c r="B1466" t="s">
        <v>1962</v>
      </c>
    </row>
    <row r="1467" spans="1:2">
      <c r="A1467" t="s">
        <v>2510</v>
      </c>
      <c r="B1467" t="s">
        <v>2625</v>
      </c>
    </row>
    <row r="1468" spans="1:2">
      <c r="A1468" t="s">
        <v>2016</v>
      </c>
      <c r="B1468" t="s">
        <v>1902</v>
      </c>
    </row>
    <row r="1469" spans="1:2">
      <c r="A1469" t="s">
        <v>2017</v>
      </c>
      <c r="B1469" t="s">
        <v>1900</v>
      </c>
    </row>
    <row r="1470" spans="1:2">
      <c r="A1470" t="s">
        <v>2018</v>
      </c>
      <c r="B1470"/>
    </row>
    <row r="1471" spans="1:2">
      <c r="A1471" t="s">
        <v>3007</v>
      </c>
      <c r="B1471" t="s">
        <v>196</v>
      </c>
    </row>
    <row r="1472" spans="1:2">
      <c r="A1472" t="s">
        <v>1305</v>
      </c>
      <c r="B1472" t="s">
        <v>84</v>
      </c>
    </row>
    <row r="1473" spans="1:2">
      <c r="A1473" t="s">
        <v>1306</v>
      </c>
      <c r="B1473" t="s">
        <v>320</v>
      </c>
    </row>
    <row r="1474" spans="1:2">
      <c r="A1474" t="s">
        <v>1307</v>
      </c>
      <c r="B1474" t="s">
        <v>321</v>
      </c>
    </row>
    <row r="1475" spans="1:2">
      <c r="A1475" t="s">
        <v>1308</v>
      </c>
      <c r="B1475" t="s">
        <v>471</v>
      </c>
    </row>
    <row r="1476" spans="1:2">
      <c r="A1476" t="s">
        <v>1309</v>
      </c>
      <c r="B1476" t="s">
        <v>322</v>
      </c>
    </row>
    <row r="1477" spans="1:2">
      <c r="A1477" t="s">
        <v>1310</v>
      </c>
      <c r="B1477" t="s">
        <v>323</v>
      </c>
    </row>
    <row r="1478" spans="1:2">
      <c r="A1478" t="s">
        <v>1311</v>
      </c>
      <c r="B1478" t="s">
        <v>111</v>
      </c>
    </row>
    <row r="1479" spans="1:2">
      <c r="A1479" t="s">
        <v>2511</v>
      </c>
      <c r="B1479" t="s">
        <v>2627</v>
      </c>
    </row>
    <row r="1480" spans="1:2">
      <c r="A1480" t="s">
        <v>2019</v>
      </c>
      <c r="B1480"/>
    </row>
    <row r="1481" spans="1:2">
      <c r="A1481" t="s">
        <v>2020</v>
      </c>
      <c r="B1481"/>
    </row>
    <row r="1482" spans="1:2">
      <c r="A1482" t="s">
        <v>2021</v>
      </c>
      <c r="B1482" t="s">
        <v>1901</v>
      </c>
    </row>
    <row r="1483" spans="1:2">
      <c r="A1483" t="s">
        <v>3008</v>
      </c>
      <c r="B1483" t="s">
        <v>196</v>
      </c>
    </row>
    <row r="1484" spans="1:2">
      <c r="A1484" t="s">
        <v>1312</v>
      </c>
      <c r="B1484" t="s">
        <v>85</v>
      </c>
    </row>
    <row r="1485" spans="1:2">
      <c r="A1485" t="s">
        <v>1313</v>
      </c>
      <c r="B1485" t="s">
        <v>324</v>
      </c>
    </row>
    <row r="1486" spans="1:2">
      <c r="A1486" t="s">
        <v>1314</v>
      </c>
      <c r="B1486" t="s">
        <v>325</v>
      </c>
    </row>
    <row r="1487" spans="1:2">
      <c r="A1487" t="s">
        <v>1315</v>
      </c>
      <c r="B1487" t="s">
        <v>472</v>
      </c>
    </row>
    <row r="1488" spans="1:2">
      <c r="A1488" t="s">
        <v>1316</v>
      </c>
      <c r="B1488" t="s">
        <v>326</v>
      </c>
    </row>
    <row r="1489" spans="1:2">
      <c r="A1489" t="s">
        <v>1317</v>
      </c>
      <c r="B1489" t="s">
        <v>327</v>
      </c>
    </row>
    <row r="1490" spans="1:2">
      <c r="A1490" t="s">
        <v>1318</v>
      </c>
      <c r="B1490" t="s">
        <v>1966</v>
      </c>
    </row>
    <row r="1491" spans="1:2">
      <c r="A1491" t="s">
        <v>2512</v>
      </c>
      <c r="B1491" t="s">
        <v>2627</v>
      </c>
    </row>
    <row r="1492" spans="1:2">
      <c r="A1492" t="s">
        <v>2022</v>
      </c>
      <c r="B1492"/>
    </row>
    <row r="1493" spans="1:2">
      <c r="A1493" t="s">
        <v>2023</v>
      </c>
      <c r="B1493"/>
    </row>
    <row r="1494" spans="1:2">
      <c r="A1494" t="s">
        <v>2024</v>
      </c>
      <c r="B1494" t="s">
        <v>1901</v>
      </c>
    </row>
    <row r="1495" spans="1:2">
      <c r="A1495" t="s">
        <v>3009</v>
      </c>
      <c r="B1495" t="s">
        <v>196</v>
      </c>
    </row>
    <row r="1496" spans="1:2">
      <c r="A1496" t="s">
        <v>1319</v>
      </c>
      <c r="B1496" t="s">
        <v>86</v>
      </c>
    </row>
    <row r="1497" spans="1:2">
      <c r="A1497" t="s">
        <v>1320</v>
      </c>
      <c r="B1497" t="s">
        <v>328</v>
      </c>
    </row>
    <row r="1498" spans="1:2">
      <c r="A1498" t="s">
        <v>1321</v>
      </c>
      <c r="B1498" t="s">
        <v>329</v>
      </c>
    </row>
    <row r="1499" spans="1:2">
      <c r="A1499" t="s">
        <v>1322</v>
      </c>
      <c r="B1499" t="s">
        <v>473</v>
      </c>
    </row>
    <row r="1500" spans="1:2">
      <c r="A1500" t="s">
        <v>1323</v>
      </c>
      <c r="B1500" t="s">
        <v>330</v>
      </c>
    </row>
    <row r="1501" spans="1:2">
      <c r="A1501" t="s">
        <v>1324</v>
      </c>
      <c r="B1501" t="s">
        <v>331</v>
      </c>
    </row>
    <row r="1502" spans="1:2">
      <c r="A1502" t="s">
        <v>1325</v>
      </c>
      <c r="B1502" t="s">
        <v>1966</v>
      </c>
    </row>
    <row r="1503" spans="1:2">
      <c r="A1503" t="s">
        <v>2513</v>
      </c>
      <c r="B1503" t="s">
        <v>2627</v>
      </c>
    </row>
    <row r="1504" spans="1:2">
      <c r="A1504" t="s">
        <v>2025</v>
      </c>
      <c r="B1504"/>
    </row>
    <row r="1505" spans="1:2">
      <c r="A1505" t="s">
        <v>2026</v>
      </c>
      <c r="B1505"/>
    </row>
    <row r="1506" spans="1:2">
      <c r="A1506" t="s">
        <v>2027</v>
      </c>
      <c r="B1506" t="s">
        <v>1901</v>
      </c>
    </row>
    <row r="1507" spans="1:2">
      <c r="A1507" t="s">
        <v>3010</v>
      </c>
      <c r="B1507" t="s">
        <v>196</v>
      </c>
    </row>
    <row r="1508" spans="1:2">
      <c r="A1508" t="s">
        <v>1326</v>
      </c>
      <c r="B1508" t="s">
        <v>87</v>
      </c>
    </row>
    <row r="1509" spans="1:2">
      <c r="A1509" t="s">
        <v>1327</v>
      </c>
      <c r="B1509" t="s">
        <v>332</v>
      </c>
    </row>
    <row r="1510" spans="1:2">
      <c r="A1510" t="s">
        <v>1328</v>
      </c>
      <c r="B1510" t="s">
        <v>333</v>
      </c>
    </row>
    <row r="1511" spans="1:2">
      <c r="A1511" t="s">
        <v>1329</v>
      </c>
      <c r="B1511" t="s">
        <v>474</v>
      </c>
    </row>
    <row r="1512" spans="1:2">
      <c r="A1512" t="s">
        <v>1330</v>
      </c>
      <c r="B1512" t="s">
        <v>334</v>
      </c>
    </row>
    <row r="1513" spans="1:2">
      <c r="A1513" t="s">
        <v>1331</v>
      </c>
      <c r="B1513" t="s">
        <v>335</v>
      </c>
    </row>
    <row r="1514" spans="1:2">
      <c r="A1514" t="s">
        <v>1332</v>
      </c>
      <c r="B1514" t="s">
        <v>1962</v>
      </c>
    </row>
    <row r="1515" spans="1:2">
      <c r="A1515" t="s">
        <v>2514</v>
      </c>
      <c r="B1515" t="s">
        <v>2627</v>
      </c>
    </row>
    <row r="1516" spans="1:2">
      <c r="A1516" t="s">
        <v>2028</v>
      </c>
      <c r="B1516"/>
    </row>
    <row r="1517" spans="1:2">
      <c r="A1517" t="s">
        <v>2029</v>
      </c>
      <c r="B1517"/>
    </row>
    <row r="1518" spans="1:2">
      <c r="A1518" t="s">
        <v>2030</v>
      </c>
      <c r="B1518" t="s">
        <v>1901</v>
      </c>
    </row>
    <row r="1519" spans="1:2">
      <c r="A1519" t="s">
        <v>3011</v>
      </c>
      <c r="B1519" t="s">
        <v>196</v>
      </c>
    </row>
    <row r="1520" spans="1:2">
      <c r="A1520" t="s">
        <v>1333</v>
      </c>
      <c r="B1520" t="s">
        <v>56</v>
      </c>
    </row>
    <row r="1521" spans="1:2">
      <c r="A1521" t="s">
        <v>1334</v>
      </c>
      <c r="B1521" t="s">
        <v>197</v>
      </c>
    </row>
    <row r="1522" spans="1:2">
      <c r="A1522" t="s">
        <v>1335</v>
      </c>
      <c r="B1522" t="s">
        <v>198</v>
      </c>
    </row>
    <row r="1523" spans="1:2">
      <c r="A1523" t="s">
        <v>1336</v>
      </c>
      <c r="B1523" t="s">
        <v>424</v>
      </c>
    </row>
    <row r="1524" spans="1:2">
      <c r="A1524" t="s">
        <v>1337</v>
      </c>
      <c r="B1524" t="s">
        <v>199</v>
      </c>
    </row>
    <row r="1525" spans="1:2">
      <c r="A1525" t="s">
        <v>1338</v>
      </c>
      <c r="B1525" t="s">
        <v>200</v>
      </c>
    </row>
    <row r="1526" spans="1:2">
      <c r="A1526" t="s">
        <v>1339</v>
      </c>
      <c r="B1526" t="s">
        <v>1962</v>
      </c>
    </row>
    <row r="1527" spans="1:2">
      <c r="A1527" t="s">
        <v>2516</v>
      </c>
      <c r="B1527" t="s">
        <v>2625</v>
      </c>
    </row>
    <row r="1528" spans="1:2">
      <c r="A1528" t="s">
        <v>2031</v>
      </c>
      <c r="B1528" t="s">
        <v>1902</v>
      </c>
    </row>
    <row r="1529" spans="1:2">
      <c r="A1529" t="s">
        <v>2032</v>
      </c>
      <c r="B1529" t="s">
        <v>1900</v>
      </c>
    </row>
    <row r="1530" spans="1:2">
      <c r="A1530" t="s">
        <v>2033</v>
      </c>
      <c r="B1530"/>
    </row>
    <row r="1531" spans="1:2">
      <c r="A1531" t="s">
        <v>3012</v>
      </c>
      <c r="B1531" t="s">
        <v>196</v>
      </c>
    </row>
    <row r="1532" spans="1:2">
      <c r="A1532" t="s">
        <v>1340</v>
      </c>
      <c r="B1532" t="s">
        <v>57</v>
      </c>
    </row>
    <row r="1533" spans="1:2">
      <c r="A1533" t="s">
        <v>1341</v>
      </c>
      <c r="B1533" t="s">
        <v>201</v>
      </c>
    </row>
    <row r="1534" spans="1:2">
      <c r="A1534" t="s">
        <v>1342</v>
      </c>
      <c r="B1534" t="s">
        <v>2515</v>
      </c>
    </row>
    <row r="1535" spans="1:2">
      <c r="A1535" t="s">
        <v>1343</v>
      </c>
      <c r="B1535" t="s">
        <v>425</v>
      </c>
    </row>
    <row r="1536" spans="1:2">
      <c r="A1536" t="s">
        <v>1344</v>
      </c>
      <c r="B1536" t="s">
        <v>202</v>
      </c>
    </row>
    <row r="1537" spans="1:2">
      <c r="A1537" t="s">
        <v>1345</v>
      </c>
      <c r="B1537" t="s">
        <v>203</v>
      </c>
    </row>
    <row r="1538" spans="1:2">
      <c r="A1538" t="s">
        <v>1346</v>
      </c>
      <c r="B1538" t="s">
        <v>1967</v>
      </c>
    </row>
    <row r="1539" spans="1:2">
      <c r="A1539" t="s">
        <v>2517</v>
      </c>
      <c r="B1539" t="s">
        <v>2632</v>
      </c>
    </row>
    <row r="1540" spans="1:2">
      <c r="A1540" t="s">
        <v>2034</v>
      </c>
      <c r="B1540" t="s">
        <v>1902</v>
      </c>
    </row>
    <row r="1541" spans="1:2">
      <c r="A1541" t="s">
        <v>2035</v>
      </c>
      <c r="B1541"/>
    </row>
    <row r="1542" spans="1:2">
      <c r="A1542" t="s">
        <v>2036</v>
      </c>
      <c r="B1542"/>
    </row>
    <row r="1543" spans="1:2">
      <c r="A1543" t="s">
        <v>3013</v>
      </c>
      <c r="B1543" t="s">
        <v>196</v>
      </c>
    </row>
    <row r="1544" spans="1:2">
      <c r="A1544" t="s">
        <v>1347</v>
      </c>
      <c r="B1544" t="s">
        <v>152</v>
      </c>
    </row>
    <row r="1545" spans="1:2">
      <c r="A1545" t="s">
        <v>1348</v>
      </c>
      <c r="B1545" t="s">
        <v>513</v>
      </c>
    </row>
    <row r="1546" spans="1:2">
      <c r="A1546" t="s">
        <v>1349</v>
      </c>
      <c r="B1546" t="s">
        <v>514</v>
      </c>
    </row>
    <row r="1547" spans="1:2">
      <c r="A1547" t="s">
        <v>1350</v>
      </c>
      <c r="B1547" t="s">
        <v>495</v>
      </c>
    </row>
    <row r="1548" spans="1:2">
      <c r="A1548" t="s">
        <v>1351</v>
      </c>
      <c r="B1548" t="s">
        <v>3334</v>
      </c>
    </row>
    <row r="1549" spans="1:2">
      <c r="A1549" t="s">
        <v>1352</v>
      </c>
      <c r="B1549" t="s">
        <v>515</v>
      </c>
    </row>
    <row r="1550" spans="1:2">
      <c r="A1550" t="s">
        <v>1353</v>
      </c>
      <c r="B1550" t="s">
        <v>1964</v>
      </c>
    </row>
    <row r="1551" spans="1:2">
      <c r="A1551" t="s">
        <v>2518</v>
      </c>
      <c r="B1551" t="s">
        <v>2629</v>
      </c>
    </row>
    <row r="1552" spans="1:2">
      <c r="A1552" t="s">
        <v>2037</v>
      </c>
      <c r="B1552"/>
    </row>
    <row r="1553" spans="1:2">
      <c r="A1553" t="s">
        <v>2038</v>
      </c>
      <c r="B1553"/>
    </row>
    <row r="1554" spans="1:2">
      <c r="A1554" t="s">
        <v>2039</v>
      </c>
      <c r="B1554"/>
    </row>
    <row r="1555" spans="1:2">
      <c r="A1555" t="s">
        <v>3014</v>
      </c>
      <c r="B1555" t="s">
        <v>196</v>
      </c>
    </row>
    <row r="1556" spans="1:2">
      <c r="A1556" t="s">
        <v>1354</v>
      </c>
      <c r="B1556" t="s">
        <v>88</v>
      </c>
    </row>
    <row r="1557" spans="1:2">
      <c r="A1557" t="s">
        <v>1355</v>
      </c>
      <c r="B1557" t="s">
        <v>336</v>
      </c>
    </row>
    <row r="1558" spans="1:2">
      <c r="A1558" t="s">
        <v>1356</v>
      </c>
      <c r="B1558" t="s">
        <v>337</v>
      </c>
    </row>
    <row r="1559" spans="1:2">
      <c r="A1559" t="s">
        <v>1357</v>
      </c>
      <c r="B1559" t="s">
        <v>475</v>
      </c>
    </row>
    <row r="1560" spans="1:2">
      <c r="A1560" t="s">
        <v>1358</v>
      </c>
      <c r="B1560" t="s">
        <v>338</v>
      </c>
    </row>
    <row r="1561" spans="1:2">
      <c r="A1561" t="s">
        <v>1359</v>
      </c>
      <c r="B1561" t="s">
        <v>339</v>
      </c>
    </row>
    <row r="1562" spans="1:2">
      <c r="A1562" t="s">
        <v>1360</v>
      </c>
      <c r="B1562" t="s">
        <v>158</v>
      </c>
    </row>
    <row r="1563" spans="1:2">
      <c r="A1563" t="s">
        <v>2523</v>
      </c>
      <c r="B1563" t="s">
        <v>2627</v>
      </c>
    </row>
    <row r="1564" spans="1:2">
      <c r="A1564" t="s">
        <v>2040</v>
      </c>
      <c r="B1564"/>
    </row>
    <row r="1565" spans="1:2">
      <c r="A1565" t="s">
        <v>2041</v>
      </c>
      <c r="B1565"/>
    </row>
    <row r="1566" spans="1:2">
      <c r="A1566" t="s">
        <v>2042</v>
      </c>
      <c r="B1566" t="s">
        <v>1901</v>
      </c>
    </row>
    <row r="1567" spans="1:2">
      <c r="A1567" t="s">
        <v>3015</v>
      </c>
      <c r="B1567" t="s">
        <v>261</v>
      </c>
    </row>
    <row r="1568" spans="1:2">
      <c r="A1568" t="s">
        <v>1361</v>
      </c>
      <c r="B1568" t="s">
        <v>2286</v>
      </c>
    </row>
    <row r="1569" spans="1:2">
      <c r="A1569" t="s">
        <v>1362</v>
      </c>
      <c r="B1569" t="s">
        <v>2519</v>
      </c>
    </row>
    <row r="1570" spans="1:2">
      <c r="A1570" t="s">
        <v>1363</v>
      </c>
      <c r="B1570" t="s">
        <v>2520</v>
      </c>
    </row>
    <row r="1571" spans="1:2">
      <c r="A1571" t="s">
        <v>1364</v>
      </c>
      <c r="B1571" t="s">
        <v>2521</v>
      </c>
    </row>
    <row r="1572" spans="1:2">
      <c r="A1572" t="s">
        <v>1365</v>
      </c>
      <c r="B1572" t="s">
        <v>3335</v>
      </c>
    </row>
    <row r="1573" spans="1:2">
      <c r="A1573" t="s">
        <v>1366</v>
      </c>
      <c r="B1573" t="s">
        <v>2522</v>
      </c>
    </row>
    <row r="1574" spans="1:2">
      <c r="A1574" t="s">
        <v>1367</v>
      </c>
      <c r="B1574" t="s">
        <v>1963</v>
      </c>
    </row>
    <row r="1575" spans="1:2">
      <c r="A1575" t="s">
        <v>2524</v>
      </c>
      <c r="B1575" t="s">
        <v>2633</v>
      </c>
    </row>
    <row r="1576" spans="1:2">
      <c r="A1576" t="s">
        <v>2043</v>
      </c>
      <c r="B1576"/>
    </row>
    <row r="1577" spans="1:2">
      <c r="A1577" t="s">
        <v>2044</v>
      </c>
      <c r="B1577"/>
    </row>
    <row r="1578" spans="1:2">
      <c r="A1578" t="s">
        <v>2045</v>
      </c>
      <c r="B1578"/>
    </row>
    <row r="1579" spans="1:2">
      <c r="A1579" t="s">
        <v>3016</v>
      </c>
      <c r="B1579" t="s">
        <v>208</v>
      </c>
    </row>
    <row r="1580" spans="1:2">
      <c r="A1580" t="s">
        <v>1368</v>
      </c>
      <c r="B1580" t="s">
        <v>516</v>
      </c>
    </row>
    <row r="1581" spans="1:2">
      <c r="A1581" t="s">
        <v>1369</v>
      </c>
      <c r="B1581" t="s">
        <v>517</v>
      </c>
    </row>
    <row r="1582" spans="1:2">
      <c r="A1582" t="s">
        <v>1370</v>
      </c>
      <c r="B1582" t="s">
        <v>518</v>
      </c>
    </row>
    <row r="1583" spans="1:2">
      <c r="A1583" t="s">
        <v>1371</v>
      </c>
      <c r="B1583" t="s">
        <v>3395</v>
      </c>
    </row>
    <row r="1584" spans="1:2">
      <c r="A1584" t="s">
        <v>1372</v>
      </c>
      <c r="B1584" t="s">
        <v>3336</v>
      </c>
    </row>
    <row r="1585" spans="1:2">
      <c r="A1585" t="s">
        <v>1373</v>
      </c>
      <c r="B1585" t="s">
        <v>519</v>
      </c>
    </row>
    <row r="1586" spans="1:2">
      <c r="A1586" t="s">
        <v>1374</v>
      </c>
      <c r="B1586" t="s">
        <v>1968</v>
      </c>
    </row>
    <row r="1587" spans="1:2">
      <c r="A1587" t="s">
        <v>2530</v>
      </c>
      <c r="B1587" t="s">
        <v>2629</v>
      </c>
    </row>
    <row r="1588" spans="1:2">
      <c r="A1588" t="s">
        <v>2046</v>
      </c>
      <c r="B1588"/>
    </row>
    <row r="1589" spans="1:2">
      <c r="A1589" t="s">
        <v>2047</v>
      </c>
      <c r="B1589"/>
    </row>
    <row r="1590" spans="1:2">
      <c r="A1590" t="s">
        <v>2048</v>
      </c>
      <c r="B1590"/>
    </row>
    <row r="1591" spans="1:2">
      <c r="A1591" t="s">
        <v>3017</v>
      </c>
      <c r="B1591" t="s">
        <v>208</v>
      </c>
    </row>
    <row r="1592" spans="1:2">
      <c r="A1592" t="s">
        <v>1375</v>
      </c>
      <c r="B1592" t="s">
        <v>2287</v>
      </c>
    </row>
    <row r="1593" spans="1:2">
      <c r="A1593" t="s">
        <v>1376</v>
      </c>
      <c r="B1593" t="s">
        <v>2525</v>
      </c>
    </row>
    <row r="1594" spans="1:2">
      <c r="A1594" t="s">
        <v>1377</v>
      </c>
      <c r="B1594" t="s">
        <v>2526</v>
      </c>
    </row>
    <row r="1595" spans="1:2">
      <c r="A1595" t="s">
        <v>1378</v>
      </c>
      <c r="B1595" t="s">
        <v>2527</v>
      </c>
    </row>
    <row r="1596" spans="1:2">
      <c r="A1596" t="s">
        <v>1379</v>
      </c>
      <c r="B1596" t="s">
        <v>3337</v>
      </c>
    </row>
    <row r="1597" spans="1:2">
      <c r="A1597" t="s">
        <v>1380</v>
      </c>
      <c r="B1597" t="s">
        <v>2528</v>
      </c>
    </row>
    <row r="1598" spans="1:2">
      <c r="A1598" t="s">
        <v>1381</v>
      </c>
      <c r="B1598" t="s">
        <v>2529</v>
      </c>
    </row>
    <row r="1599" spans="1:2">
      <c r="A1599" t="s">
        <v>2531</v>
      </c>
      <c r="B1599" t="s">
        <v>2629</v>
      </c>
    </row>
    <row r="1600" spans="1:2">
      <c r="A1600" t="s">
        <v>2049</v>
      </c>
      <c r="B1600"/>
    </row>
    <row r="1601" spans="1:2">
      <c r="A1601" t="s">
        <v>2050</v>
      </c>
      <c r="B1601"/>
    </row>
    <row r="1602" spans="1:2">
      <c r="A1602" t="s">
        <v>2051</v>
      </c>
      <c r="B1602"/>
    </row>
    <row r="1603" spans="1:2">
      <c r="A1603" t="s">
        <v>3018</v>
      </c>
      <c r="B1603" t="s">
        <v>208</v>
      </c>
    </row>
    <row r="1604" spans="1:2">
      <c r="A1604" t="s">
        <v>1382</v>
      </c>
      <c r="B1604" t="s">
        <v>58</v>
      </c>
    </row>
    <row r="1605" spans="1:2">
      <c r="A1605" t="s">
        <v>1383</v>
      </c>
      <c r="B1605" t="s">
        <v>204</v>
      </c>
    </row>
    <row r="1606" spans="1:2">
      <c r="A1606" t="s">
        <v>1384</v>
      </c>
      <c r="B1606" t="s">
        <v>205</v>
      </c>
    </row>
    <row r="1607" spans="1:2">
      <c r="A1607" t="s">
        <v>1385</v>
      </c>
      <c r="B1607" t="s">
        <v>426</v>
      </c>
    </row>
    <row r="1608" spans="1:2">
      <c r="A1608" t="s">
        <v>1386</v>
      </c>
      <c r="B1608" t="s">
        <v>206</v>
      </c>
    </row>
    <row r="1609" spans="1:2">
      <c r="A1609" t="s">
        <v>1387</v>
      </c>
      <c r="B1609" t="s">
        <v>207</v>
      </c>
    </row>
    <row r="1610" spans="1:2">
      <c r="A1610" t="s">
        <v>1388</v>
      </c>
      <c r="B1610" t="s">
        <v>1962</v>
      </c>
    </row>
    <row r="1611" spans="1:2">
      <c r="A1611" t="s">
        <v>2532</v>
      </c>
      <c r="B1611" t="s">
        <v>2625</v>
      </c>
    </row>
    <row r="1612" spans="1:2">
      <c r="A1612" t="s">
        <v>2052</v>
      </c>
      <c r="B1612" t="s">
        <v>1902</v>
      </c>
    </row>
    <row r="1613" spans="1:2">
      <c r="A1613" t="s">
        <v>2053</v>
      </c>
      <c r="B1613" t="s">
        <v>1900</v>
      </c>
    </row>
    <row r="1614" spans="1:2">
      <c r="A1614" t="s">
        <v>2054</v>
      </c>
      <c r="B1614"/>
    </row>
    <row r="1615" spans="1:2">
      <c r="A1615" t="s">
        <v>3019</v>
      </c>
      <c r="B1615" t="s">
        <v>208</v>
      </c>
    </row>
    <row r="1616" spans="1:2">
      <c r="A1616" t="s">
        <v>1389</v>
      </c>
      <c r="B1616" t="s">
        <v>89</v>
      </c>
    </row>
    <row r="1617" spans="1:2">
      <c r="A1617" t="s">
        <v>1390</v>
      </c>
      <c r="B1617" t="s">
        <v>340</v>
      </c>
    </row>
    <row r="1618" spans="1:2">
      <c r="A1618" t="s">
        <v>1391</v>
      </c>
      <c r="B1618" t="s">
        <v>341</v>
      </c>
    </row>
    <row r="1619" spans="1:2">
      <c r="A1619" t="s">
        <v>1392</v>
      </c>
      <c r="B1619" t="s">
        <v>476</v>
      </c>
    </row>
    <row r="1620" spans="1:2">
      <c r="A1620" t="s">
        <v>1393</v>
      </c>
      <c r="B1620" t="s">
        <v>342</v>
      </c>
    </row>
    <row r="1621" spans="1:2">
      <c r="A1621" t="s">
        <v>1394</v>
      </c>
      <c r="B1621" t="s">
        <v>343</v>
      </c>
    </row>
    <row r="1622" spans="1:2">
      <c r="A1622" t="s">
        <v>1395</v>
      </c>
      <c r="B1622" t="s">
        <v>111</v>
      </c>
    </row>
    <row r="1623" spans="1:2">
      <c r="A1623" t="s">
        <v>2533</v>
      </c>
      <c r="B1623" t="s">
        <v>2627</v>
      </c>
    </row>
    <row r="1624" spans="1:2">
      <c r="A1624" t="s">
        <v>2055</v>
      </c>
      <c r="B1624"/>
    </row>
    <row r="1625" spans="1:2">
      <c r="A1625" t="s">
        <v>2056</v>
      </c>
      <c r="B1625"/>
    </row>
    <row r="1626" spans="1:2">
      <c r="A1626" t="s">
        <v>2057</v>
      </c>
      <c r="B1626" t="s">
        <v>1901</v>
      </c>
    </row>
    <row r="1627" spans="1:2">
      <c r="A1627" t="s">
        <v>3020</v>
      </c>
      <c r="B1627" t="s">
        <v>262</v>
      </c>
    </row>
    <row r="1628" spans="1:2">
      <c r="A1628" t="s">
        <v>1396</v>
      </c>
      <c r="B1628" t="s">
        <v>154</v>
      </c>
    </row>
    <row r="1629" spans="1:2">
      <c r="A1629" t="s">
        <v>1397</v>
      </c>
      <c r="B1629" t="s">
        <v>520</v>
      </c>
    </row>
    <row r="1630" spans="1:2">
      <c r="A1630" t="s">
        <v>1398</v>
      </c>
      <c r="B1630" t="s">
        <v>521</v>
      </c>
    </row>
    <row r="1631" spans="1:2">
      <c r="A1631" t="s">
        <v>1399</v>
      </c>
      <c r="B1631" t="s">
        <v>3396</v>
      </c>
    </row>
    <row r="1632" spans="1:2">
      <c r="A1632" t="s">
        <v>1400</v>
      </c>
      <c r="B1632" t="s">
        <v>3338</v>
      </c>
    </row>
    <row r="1633" spans="1:2">
      <c r="A1633" t="s">
        <v>1401</v>
      </c>
      <c r="B1633" t="s">
        <v>522</v>
      </c>
    </row>
    <row r="1634" spans="1:2">
      <c r="A1634" t="s">
        <v>1402</v>
      </c>
      <c r="B1634" t="s">
        <v>1964</v>
      </c>
    </row>
    <row r="1635" spans="1:2">
      <c r="A1635" t="s">
        <v>2534</v>
      </c>
      <c r="B1635" t="s">
        <v>2629</v>
      </c>
    </row>
    <row r="1636" spans="1:2">
      <c r="A1636" t="s">
        <v>2058</v>
      </c>
      <c r="B1636"/>
    </row>
    <row r="1637" spans="1:2">
      <c r="A1637" t="s">
        <v>2059</v>
      </c>
      <c r="B1637"/>
    </row>
    <row r="1638" spans="1:2">
      <c r="A1638" t="s">
        <v>2060</v>
      </c>
      <c r="B1638"/>
    </row>
    <row r="1639" spans="1:2">
      <c r="A1639" t="s">
        <v>3021</v>
      </c>
      <c r="B1639" t="s">
        <v>311</v>
      </c>
    </row>
    <row r="1640" spans="1:2">
      <c r="A1640" t="s">
        <v>1403</v>
      </c>
      <c r="B1640" t="s">
        <v>90</v>
      </c>
    </row>
    <row r="1641" spans="1:2">
      <c r="A1641" t="s">
        <v>1404</v>
      </c>
      <c r="B1641" t="s">
        <v>344</v>
      </c>
    </row>
    <row r="1642" spans="1:2">
      <c r="A1642" t="s">
        <v>1405</v>
      </c>
      <c r="B1642" t="s">
        <v>345</v>
      </c>
    </row>
    <row r="1643" spans="1:2">
      <c r="A1643" t="s">
        <v>1406</v>
      </c>
      <c r="B1643" t="s">
        <v>477</v>
      </c>
    </row>
    <row r="1644" spans="1:2">
      <c r="A1644" t="s">
        <v>1407</v>
      </c>
      <c r="B1644" t="s">
        <v>346</v>
      </c>
    </row>
    <row r="1645" spans="1:2">
      <c r="A1645" t="s">
        <v>1408</v>
      </c>
      <c r="B1645" t="s">
        <v>347</v>
      </c>
    </row>
    <row r="1646" spans="1:2">
      <c r="A1646" t="s">
        <v>1409</v>
      </c>
      <c r="B1646" t="s">
        <v>1969</v>
      </c>
    </row>
    <row r="1647" spans="1:2">
      <c r="A1647" t="s">
        <v>2539</v>
      </c>
      <c r="B1647" t="s">
        <v>2627</v>
      </c>
    </row>
    <row r="1648" spans="1:2">
      <c r="A1648" t="s">
        <v>2061</v>
      </c>
      <c r="B1648"/>
    </row>
    <row r="1649" spans="1:2">
      <c r="A1649" t="s">
        <v>2062</v>
      </c>
      <c r="B1649"/>
    </row>
    <row r="1650" spans="1:2">
      <c r="A1650" t="s">
        <v>2063</v>
      </c>
      <c r="B1650" t="s">
        <v>1901</v>
      </c>
    </row>
    <row r="1651" spans="1:2">
      <c r="A1651" t="s">
        <v>3022</v>
      </c>
      <c r="B1651" t="s">
        <v>262</v>
      </c>
    </row>
    <row r="1652" spans="1:2">
      <c r="A1652" t="s">
        <v>1410</v>
      </c>
      <c r="B1652" t="s">
        <v>2288</v>
      </c>
    </row>
    <row r="1653" spans="1:2">
      <c r="A1653" t="s">
        <v>1411</v>
      </c>
      <c r="B1653" t="s">
        <v>2535</v>
      </c>
    </row>
    <row r="1654" spans="1:2">
      <c r="A1654" t="s">
        <v>1412</v>
      </c>
      <c r="B1654" t="s">
        <v>2536</v>
      </c>
    </row>
    <row r="1655" spans="1:2">
      <c r="A1655" t="s">
        <v>1413</v>
      </c>
      <c r="B1655" t="s">
        <v>3397</v>
      </c>
    </row>
    <row r="1656" spans="1:2">
      <c r="A1656" t="s">
        <v>1414</v>
      </c>
      <c r="B1656" t="s">
        <v>3339</v>
      </c>
    </row>
    <row r="1657" spans="1:2">
      <c r="A1657" t="s">
        <v>1415</v>
      </c>
      <c r="B1657" t="s">
        <v>2537</v>
      </c>
    </row>
    <row r="1658" spans="1:2">
      <c r="A1658" t="s">
        <v>1416</v>
      </c>
      <c r="B1658" t="s">
        <v>2538</v>
      </c>
    </row>
    <row r="1659" spans="1:2">
      <c r="A1659" t="s">
        <v>2540</v>
      </c>
      <c r="B1659" t="s">
        <v>2629</v>
      </c>
    </row>
    <row r="1660" spans="1:2">
      <c r="A1660" t="s">
        <v>2064</v>
      </c>
      <c r="B1660"/>
    </row>
    <row r="1661" spans="1:2">
      <c r="A1661" t="s">
        <v>2065</v>
      </c>
      <c r="B1661"/>
    </row>
    <row r="1662" spans="1:2">
      <c r="A1662" t="s">
        <v>2066</v>
      </c>
      <c r="B1662"/>
    </row>
    <row r="1663" spans="1:2">
      <c r="A1663" t="s">
        <v>3023</v>
      </c>
      <c r="B1663" t="s">
        <v>262</v>
      </c>
    </row>
    <row r="1664" spans="1:2">
      <c r="A1664" t="s">
        <v>1417</v>
      </c>
      <c r="B1664" t="s">
        <v>523</v>
      </c>
    </row>
    <row r="1665" spans="1:2">
      <c r="A1665" t="s">
        <v>1418</v>
      </c>
      <c r="B1665" t="s">
        <v>524</v>
      </c>
    </row>
    <row r="1666" spans="1:2">
      <c r="A1666" t="s">
        <v>1419</v>
      </c>
      <c r="B1666" t="s">
        <v>525</v>
      </c>
    </row>
    <row r="1667" spans="1:2">
      <c r="A1667" t="s">
        <v>1420</v>
      </c>
      <c r="B1667" t="s">
        <v>3376</v>
      </c>
    </row>
    <row r="1668" spans="1:2">
      <c r="A1668" t="s">
        <v>1421</v>
      </c>
      <c r="B1668" t="s">
        <v>3340</v>
      </c>
    </row>
    <row r="1669" spans="1:2">
      <c r="A1669" t="s">
        <v>1422</v>
      </c>
      <c r="B1669" t="s">
        <v>526</v>
      </c>
    </row>
    <row r="1670" spans="1:2">
      <c r="A1670" t="s">
        <v>1423</v>
      </c>
      <c r="B1670" t="s">
        <v>2538</v>
      </c>
    </row>
    <row r="1671" spans="1:2">
      <c r="A1671" t="s">
        <v>2541</v>
      </c>
      <c r="B1671" t="s">
        <v>2629</v>
      </c>
    </row>
    <row r="1672" spans="1:2">
      <c r="A1672" t="s">
        <v>2067</v>
      </c>
      <c r="B1672"/>
    </row>
    <row r="1673" spans="1:2">
      <c r="A1673" t="s">
        <v>2068</v>
      </c>
      <c r="B1673"/>
    </row>
    <row r="1674" spans="1:2">
      <c r="A1674" t="s">
        <v>2069</v>
      </c>
      <c r="B1674"/>
    </row>
    <row r="1675" spans="1:2">
      <c r="A1675" t="s">
        <v>3024</v>
      </c>
      <c r="B1675" t="s">
        <v>262</v>
      </c>
    </row>
    <row r="1676" spans="1:2">
      <c r="A1676" t="s">
        <v>1424</v>
      </c>
      <c r="B1676" t="s">
        <v>527</v>
      </c>
    </row>
    <row r="1677" spans="1:2">
      <c r="A1677" t="s">
        <v>1425</v>
      </c>
      <c r="B1677" t="s">
        <v>528</v>
      </c>
    </row>
    <row r="1678" spans="1:2">
      <c r="A1678" t="s">
        <v>1426</v>
      </c>
      <c r="B1678" t="s">
        <v>529</v>
      </c>
    </row>
    <row r="1679" spans="1:2">
      <c r="A1679" t="s">
        <v>1427</v>
      </c>
      <c r="B1679" t="s">
        <v>3384</v>
      </c>
    </row>
    <row r="1680" spans="1:2">
      <c r="A1680" t="s">
        <v>1428</v>
      </c>
      <c r="B1680" t="s">
        <v>3341</v>
      </c>
    </row>
    <row r="1681" spans="1:2">
      <c r="A1681" t="s">
        <v>1429</v>
      </c>
      <c r="B1681" t="s">
        <v>530</v>
      </c>
    </row>
    <row r="1682" spans="1:2">
      <c r="A1682" t="s">
        <v>1430</v>
      </c>
      <c r="B1682" t="s">
        <v>1963</v>
      </c>
    </row>
    <row r="1683" spans="1:2">
      <c r="A1683" t="s">
        <v>2542</v>
      </c>
      <c r="B1683" t="s">
        <v>2628</v>
      </c>
    </row>
    <row r="1684" spans="1:2">
      <c r="A1684" t="s">
        <v>2070</v>
      </c>
      <c r="B1684"/>
    </row>
    <row r="1685" spans="1:2">
      <c r="A1685" t="s">
        <v>2071</v>
      </c>
      <c r="B1685"/>
    </row>
    <row r="1686" spans="1:2">
      <c r="A1686" t="s">
        <v>2072</v>
      </c>
      <c r="B1686"/>
    </row>
    <row r="1687" spans="1:2">
      <c r="A1687" t="s">
        <v>3025</v>
      </c>
      <c r="B1687" t="s">
        <v>531</v>
      </c>
    </row>
    <row r="1688" spans="1:2">
      <c r="A1688" t="s">
        <v>1431</v>
      </c>
      <c r="B1688" t="s">
        <v>532</v>
      </c>
    </row>
    <row r="1689" spans="1:2">
      <c r="A1689" t="s">
        <v>1432</v>
      </c>
      <c r="B1689" t="s">
        <v>533</v>
      </c>
    </row>
    <row r="1690" spans="1:2">
      <c r="A1690" t="s">
        <v>1433</v>
      </c>
      <c r="B1690" t="s">
        <v>534</v>
      </c>
    </row>
    <row r="1691" spans="1:2">
      <c r="A1691" t="s">
        <v>1434</v>
      </c>
      <c r="B1691" t="s">
        <v>3398</v>
      </c>
    </row>
    <row r="1692" spans="1:2">
      <c r="A1692" t="s">
        <v>1435</v>
      </c>
      <c r="B1692" t="s">
        <v>3342</v>
      </c>
    </row>
    <row r="1693" spans="1:2">
      <c r="A1693" t="s">
        <v>1436</v>
      </c>
      <c r="B1693" t="s">
        <v>535</v>
      </c>
    </row>
    <row r="1694" spans="1:2">
      <c r="A1694" t="s">
        <v>1437</v>
      </c>
      <c r="B1694" t="s">
        <v>1963</v>
      </c>
    </row>
    <row r="1695" spans="1:2">
      <c r="A1695" t="s">
        <v>2543</v>
      </c>
      <c r="B1695" t="s">
        <v>2628</v>
      </c>
    </row>
    <row r="1696" spans="1:2">
      <c r="A1696" t="s">
        <v>2073</v>
      </c>
      <c r="B1696"/>
    </row>
    <row r="1697" spans="1:2">
      <c r="A1697" t="s">
        <v>2074</v>
      </c>
      <c r="B1697"/>
    </row>
    <row r="1698" spans="1:2">
      <c r="A1698" t="s">
        <v>2075</v>
      </c>
      <c r="B1698"/>
    </row>
    <row r="1699" spans="1:2">
      <c r="A1699" t="s">
        <v>3026</v>
      </c>
      <c r="B1699" t="s">
        <v>213</v>
      </c>
    </row>
    <row r="1700" spans="1:2">
      <c r="A1700" t="s">
        <v>1438</v>
      </c>
      <c r="B1700" t="s">
        <v>59</v>
      </c>
    </row>
    <row r="1701" spans="1:2">
      <c r="A1701" t="s">
        <v>1439</v>
      </c>
      <c r="B1701" t="s">
        <v>209</v>
      </c>
    </row>
    <row r="1702" spans="1:2">
      <c r="A1702" t="s">
        <v>1440</v>
      </c>
      <c r="B1702" t="s">
        <v>210</v>
      </c>
    </row>
    <row r="1703" spans="1:2">
      <c r="A1703" t="s">
        <v>1441</v>
      </c>
      <c r="B1703" t="s">
        <v>427</v>
      </c>
    </row>
    <row r="1704" spans="1:2">
      <c r="A1704" t="s">
        <v>1442</v>
      </c>
      <c r="B1704" t="s">
        <v>211</v>
      </c>
    </row>
    <row r="1705" spans="1:2">
      <c r="A1705" t="s">
        <v>1443</v>
      </c>
      <c r="B1705" t="s">
        <v>212</v>
      </c>
    </row>
    <row r="1706" spans="1:2">
      <c r="A1706" t="s">
        <v>1444</v>
      </c>
      <c r="B1706" t="s">
        <v>1962</v>
      </c>
    </row>
    <row r="1707" spans="1:2">
      <c r="A1707" t="s">
        <v>2544</v>
      </c>
      <c r="B1707" t="s">
        <v>2625</v>
      </c>
    </row>
    <row r="1708" spans="1:2">
      <c r="A1708" t="s">
        <v>2076</v>
      </c>
      <c r="B1708" t="s">
        <v>1902</v>
      </c>
    </row>
    <row r="1709" spans="1:2">
      <c r="A1709" t="s">
        <v>2077</v>
      </c>
      <c r="B1709" t="s">
        <v>1900</v>
      </c>
    </row>
    <row r="1710" spans="1:2">
      <c r="A1710" t="s">
        <v>2078</v>
      </c>
      <c r="B1710"/>
    </row>
    <row r="1711" spans="1:2">
      <c r="A1711" t="s">
        <v>3027</v>
      </c>
      <c r="B1711" t="s">
        <v>213</v>
      </c>
    </row>
    <row r="1712" spans="1:2">
      <c r="A1712" t="s">
        <v>1445</v>
      </c>
      <c r="B1712" t="s">
        <v>60</v>
      </c>
    </row>
    <row r="1713" spans="1:2">
      <c r="A1713" t="s">
        <v>1446</v>
      </c>
      <c r="B1713" t="s">
        <v>214</v>
      </c>
    </row>
    <row r="1714" spans="1:2">
      <c r="A1714" t="s">
        <v>1447</v>
      </c>
      <c r="B1714" t="s">
        <v>2491</v>
      </c>
    </row>
    <row r="1715" spans="1:2">
      <c r="A1715" t="s">
        <v>1448</v>
      </c>
      <c r="B1715" t="s">
        <v>428</v>
      </c>
    </row>
    <row r="1716" spans="1:2">
      <c r="A1716" t="s">
        <v>1449</v>
      </c>
      <c r="B1716" t="s">
        <v>215</v>
      </c>
    </row>
    <row r="1717" spans="1:2">
      <c r="A1717" t="s">
        <v>1450</v>
      </c>
      <c r="B1717" t="s">
        <v>216</v>
      </c>
    </row>
    <row r="1718" spans="1:2">
      <c r="A1718" t="s">
        <v>1451</v>
      </c>
      <c r="B1718" t="s">
        <v>1962</v>
      </c>
    </row>
    <row r="1719" spans="1:2">
      <c r="A1719" t="s">
        <v>2545</v>
      </c>
      <c r="B1719" t="s">
        <v>2625</v>
      </c>
    </row>
    <row r="1720" spans="1:2">
      <c r="A1720" t="s">
        <v>2079</v>
      </c>
      <c r="B1720" t="s">
        <v>1902</v>
      </c>
    </row>
    <row r="1721" spans="1:2">
      <c r="A1721" t="s">
        <v>2080</v>
      </c>
      <c r="B1721" t="s">
        <v>1900</v>
      </c>
    </row>
    <row r="1722" spans="1:2">
      <c r="A1722" t="s">
        <v>2081</v>
      </c>
      <c r="B1722"/>
    </row>
    <row r="1723" spans="1:2">
      <c r="A1723" t="s">
        <v>3028</v>
      </c>
      <c r="B1723" t="s">
        <v>217</v>
      </c>
    </row>
    <row r="1724" spans="1:2">
      <c r="A1724" t="s">
        <v>1452</v>
      </c>
      <c r="B1724" t="s">
        <v>91</v>
      </c>
    </row>
    <row r="1725" spans="1:2">
      <c r="A1725" t="s">
        <v>1453</v>
      </c>
      <c r="B1725" t="s">
        <v>348</v>
      </c>
    </row>
    <row r="1726" spans="1:2">
      <c r="A1726" t="s">
        <v>1454</v>
      </c>
      <c r="B1726" t="s">
        <v>2931</v>
      </c>
    </row>
    <row r="1727" spans="1:2">
      <c r="A1727" t="s">
        <v>1455</v>
      </c>
      <c r="B1727" t="s">
        <v>478</v>
      </c>
    </row>
    <row r="1728" spans="1:2">
      <c r="A1728" t="s">
        <v>1456</v>
      </c>
      <c r="B1728" t="s">
        <v>349</v>
      </c>
    </row>
    <row r="1729" spans="1:2">
      <c r="A1729" t="s">
        <v>1457</v>
      </c>
      <c r="B1729" t="s">
        <v>350</v>
      </c>
    </row>
    <row r="1730" spans="1:2">
      <c r="A1730" t="s">
        <v>1458</v>
      </c>
      <c r="B1730" t="s">
        <v>1970</v>
      </c>
    </row>
    <row r="1731" spans="1:2">
      <c r="A1731" t="s">
        <v>2547</v>
      </c>
      <c r="B1731" t="s">
        <v>2627</v>
      </c>
    </row>
    <row r="1732" spans="1:2">
      <c r="A1732" t="s">
        <v>2082</v>
      </c>
      <c r="B1732"/>
    </row>
    <row r="1733" spans="1:2">
      <c r="A1733" t="s">
        <v>2083</v>
      </c>
      <c r="B1733"/>
    </row>
    <row r="1734" spans="1:2">
      <c r="A1734" t="s">
        <v>2084</v>
      </c>
      <c r="B1734" t="s">
        <v>1901</v>
      </c>
    </row>
    <row r="1735" spans="1:2">
      <c r="A1735" t="s">
        <v>3029</v>
      </c>
      <c r="B1735" t="s">
        <v>217</v>
      </c>
    </row>
    <row r="1736" spans="1:2">
      <c r="A1736" t="s">
        <v>1459</v>
      </c>
      <c r="B1736" t="s">
        <v>536</v>
      </c>
    </row>
    <row r="1737" spans="1:2">
      <c r="A1737" t="s">
        <v>1460</v>
      </c>
      <c r="B1737" t="s">
        <v>537</v>
      </c>
    </row>
    <row r="1738" spans="1:2">
      <c r="A1738" t="s">
        <v>1461</v>
      </c>
      <c r="B1738" t="s">
        <v>2546</v>
      </c>
    </row>
    <row r="1739" spans="1:2">
      <c r="A1739" t="s">
        <v>1462</v>
      </c>
      <c r="B1739" t="s">
        <v>3374</v>
      </c>
    </row>
    <row r="1740" spans="1:2">
      <c r="A1740" t="s">
        <v>1463</v>
      </c>
      <c r="B1740" t="s">
        <v>3343</v>
      </c>
    </row>
    <row r="1741" spans="1:2">
      <c r="A1741" t="s">
        <v>1464</v>
      </c>
      <c r="B1741" t="s">
        <v>538</v>
      </c>
    </row>
    <row r="1742" spans="1:2">
      <c r="A1742" t="s">
        <v>1465</v>
      </c>
      <c r="B1742" t="s">
        <v>2538</v>
      </c>
    </row>
    <row r="1743" spans="1:2">
      <c r="A1743" t="s">
        <v>2548</v>
      </c>
      <c r="B1743" t="s">
        <v>2629</v>
      </c>
    </row>
    <row r="1744" spans="1:2">
      <c r="A1744" t="s">
        <v>2085</v>
      </c>
      <c r="B1744"/>
    </row>
    <row r="1745" spans="1:2">
      <c r="A1745" t="s">
        <v>2086</v>
      </c>
      <c r="B1745"/>
    </row>
    <row r="1746" spans="1:2">
      <c r="A1746" t="s">
        <v>2087</v>
      </c>
      <c r="B1746"/>
    </row>
    <row r="1747" spans="1:2">
      <c r="A1747" t="s">
        <v>3030</v>
      </c>
      <c r="B1747" t="s">
        <v>217</v>
      </c>
    </row>
    <row r="1748" spans="1:2">
      <c r="A1748" t="s">
        <v>1466</v>
      </c>
      <c r="B1748" t="s">
        <v>92</v>
      </c>
    </row>
    <row r="1749" spans="1:2">
      <c r="A1749" t="s">
        <v>1467</v>
      </c>
      <c r="B1749" t="s">
        <v>351</v>
      </c>
    </row>
    <row r="1750" spans="1:2">
      <c r="A1750" t="s">
        <v>1468</v>
      </c>
      <c r="B1750" t="s">
        <v>352</v>
      </c>
    </row>
    <row r="1751" spans="1:2">
      <c r="A1751" t="s">
        <v>1469</v>
      </c>
      <c r="B1751" t="s">
        <v>479</v>
      </c>
    </row>
    <row r="1752" spans="1:2">
      <c r="A1752" t="s">
        <v>1470</v>
      </c>
      <c r="B1752" t="s">
        <v>353</v>
      </c>
    </row>
    <row r="1753" spans="1:2">
      <c r="A1753" t="s">
        <v>1471</v>
      </c>
      <c r="B1753" t="s">
        <v>354</v>
      </c>
    </row>
    <row r="1754" spans="1:2">
      <c r="A1754" t="s">
        <v>1472</v>
      </c>
      <c r="B1754" t="s">
        <v>1962</v>
      </c>
    </row>
    <row r="1755" spans="1:2">
      <c r="A1755" t="s">
        <v>2549</v>
      </c>
      <c r="B1755" t="s">
        <v>2627</v>
      </c>
    </row>
    <row r="1756" spans="1:2">
      <c r="A1756" t="s">
        <v>2088</v>
      </c>
      <c r="B1756"/>
    </row>
    <row r="1757" spans="1:2">
      <c r="A1757" t="s">
        <v>2089</v>
      </c>
      <c r="B1757"/>
    </row>
    <row r="1758" spans="1:2">
      <c r="A1758" t="s">
        <v>2090</v>
      </c>
      <c r="B1758" t="s">
        <v>1901</v>
      </c>
    </row>
    <row r="1759" spans="1:2">
      <c r="A1759" t="s">
        <v>3031</v>
      </c>
      <c r="B1759" t="s">
        <v>217</v>
      </c>
    </row>
    <row r="1760" spans="1:2">
      <c r="A1760" t="s">
        <v>1473</v>
      </c>
      <c r="B1760" t="s">
        <v>539</v>
      </c>
    </row>
    <row r="1761" spans="1:2">
      <c r="A1761" t="s">
        <v>1474</v>
      </c>
      <c r="B1761" t="s">
        <v>540</v>
      </c>
    </row>
    <row r="1762" spans="1:2">
      <c r="A1762" t="s">
        <v>1475</v>
      </c>
      <c r="B1762" t="s">
        <v>541</v>
      </c>
    </row>
    <row r="1763" spans="1:2">
      <c r="A1763" t="s">
        <v>1476</v>
      </c>
      <c r="B1763" t="s">
        <v>3375</v>
      </c>
    </row>
    <row r="1764" spans="1:2">
      <c r="A1764" t="s">
        <v>1477</v>
      </c>
      <c r="B1764" t="s">
        <v>3344</v>
      </c>
    </row>
    <row r="1765" spans="1:2">
      <c r="A1765" t="s">
        <v>1478</v>
      </c>
      <c r="B1765" t="s">
        <v>542</v>
      </c>
    </row>
    <row r="1766" spans="1:2">
      <c r="A1766" t="s">
        <v>1479</v>
      </c>
      <c r="B1766" t="s">
        <v>2538</v>
      </c>
    </row>
    <row r="1767" spans="1:2">
      <c r="A1767" t="s">
        <v>2550</v>
      </c>
      <c r="B1767" t="s">
        <v>2629</v>
      </c>
    </row>
    <row r="1768" spans="1:2">
      <c r="A1768" t="s">
        <v>2091</v>
      </c>
      <c r="B1768"/>
    </row>
    <row r="1769" spans="1:2">
      <c r="A1769" t="s">
        <v>2092</v>
      </c>
      <c r="B1769"/>
    </row>
    <row r="1770" spans="1:2">
      <c r="A1770" t="s">
        <v>2093</v>
      </c>
      <c r="B1770"/>
    </row>
    <row r="1771" spans="1:2">
      <c r="A1771" t="s">
        <v>3032</v>
      </c>
      <c r="B1771" t="s">
        <v>263</v>
      </c>
    </row>
    <row r="1772" spans="1:2">
      <c r="A1772" t="s">
        <v>1480</v>
      </c>
      <c r="B1772" t="s">
        <v>93</v>
      </c>
    </row>
    <row r="1773" spans="1:2">
      <c r="A1773" t="s">
        <v>1481</v>
      </c>
      <c r="B1773" t="s">
        <v>355</v>
      </c>
    </row>
    <row r="1774" spans="1:2">
      <c r="A1774" t="s">
        <v>1482</v>
      </c>
      <c r="B1774" t="s">
        <v>356</v>
      </c>
    </row>
    <row r="1775" spans="1:2">
      <c r="A1775" t="s">
        <v>1483</v>
      </c>
      <c r="B1775" t="s">
        <v>480</v>
      </c>
    </row>
    <row r="1776" spans="1:2">
      <c r="A1776" t="s">
        <v>1484</v>
      </c>
      <c r="B1776" t="s">
        <v>357</v>
      </c>
    </row>
    <row r="1777" spans="1:2">
      <c r="A1777" t="s">
        <v>1485</v>
      </c>
      <c r="B1777" t="s">
        <v>358</v>
      </c>
    </row>
    <row r="1778" spans="1:2">
      <c r="A1778" t="s">
        <v>1486</v>
      </c>
      <c r="B1778" t="s">
        <v>158</v>
      </c>
    </row>
    <row r="1779" spans="1:2">
      <c r="A1779" t="s">
        <v>2551</v>
      </c>
      <c r="B1779" t="s">
        <v>2627</v>
      </c>
    </row>
    <row r="1780" spans="1:2">
      <c r="A1780" t="s">
        <v>2094</v>
      </c>
      <c r="B1780"/>
    </row>
    <row r="1781" spans="1:2">
      <c r="A1781" t="s">
        <v>2095</v>
      </c>
      <c r="B1781"/>
    </row>
    <row r="1782" spans="1:2">
      <c r="A1782" t="s">
        <v>2096</v>
      </c>
      <c r="B1782" t="s">
        <v>1901</v>
      </c>
    </row>
    <row r="1783" spans="1:2">
      <c r="A1783" t="s">
        <v>3033</v>
      </c>
      <c r="B1783" t="s">
        <v>359</v>
      </c>
    </row>
    <row r="1784" spans="1:2">
      <c r="A1784" t="s">
        <v>1487</v>
      </c>
      <c r="B1784" t="s">
        <v>543</v>
      </c>
    </row>
    <row r="1785" spans="1:2">
      <c r="A1785" t="s">
        <v>1488</v>
      </c>
      <c r="B1785" t="s">
        <v>544</v>
      </c>
    </row>
    <row r="1786" spans="1:2">
      <c r="A1786" t="s">
        <v>1489</v>
      </c>
      <c r="B1786" t="s">
        <v>545</v>
      </c>
    </row>
    <row r="1787" spans="1:2">
      <c r="A1787" t="s">
        <v>1490</v>
      </c>
      <c r="B1787" t="s">
        <v>3389</v>
      </c>
    </row>
    <row r="1788" spans="1:2">
      <c r="A1788" t="s">
        <v>1491</v>
      </c>
      <c r="B1788" t="s">
        <v>3345</v>
      </c>
    </row>
    <row r="1789" spans="1:2">
      <c r="A1789" t="s">
        <v>1492</v>
      </c>
      <c r="B1789" t="s">
        <v>546</v>
      </c>
    </row>
    <row r="1790" spans="1:2">
      <c r="A1790" t="s">
        <v>1493</v>
      </c>
      <c r="B1790" t="s">
        <v>1963</v>
      </c>
    </row>
    <row r="1791" spans="1:2">
      <c r="A1791" t="s">
        <v>2552</v>
      </c>
      <c r="B1791" t="s">
        <v>2629</v>
      </c>
    </row>
    <row r="1792" spans="1:2">
      <c r="A1792" t="s">
        <v>2097</v>
      </c>
      <c r="B1792"/>
    </row>
    <row r="1793" spans="1:2">
      <c r="A1793" t="s">
        <v>2098</v>
      </c>
      <c r="B1793"/>
    </row>
    <row r="1794" spans="1:2">
      <c r="A1794" t="s">
        <v>2099</v>
      </c>
      <c r="B1794"/>
    </row>
    <row r="1795" spans="1:2">
      <c r="A1795" t="s">
        <v>3034</v>
      </c>
      <c r="B1795" t="s">
        <v>222</v>
      </c>
    </row>
    <row r="1796" spans="1:2">
      <c r="A1796" t="s">
        <v>1494</v>
      </c>
      <c r="B1796" t="s">
        <v>547</v>
      </c>
    </row>
    <row r="1797" spans="1:2">
      <c r="A1797" t="s">
        <v>1495</v>
      </c>
      <c r="B1797" t="s">
        <v>548</v>
      </c>
    </row>
    <row r="1798" spans="1:2">
      <c r="A1798" t="s">
        <v>1496</v>
      </c>
      <c r="B1798" t="s">
        <v>2554</v>
      </c>
    </row>
    <row r="1799" spans="1:2">
      <c r="A1799" t="s">
        <v>1497</v>
      </c>
      <c r="B1799" t="s">
        <v>3390</v>
      </c>
    </row>
    <row r="1800" spans="1:2">
      <c r="A1800" t="s">
        <v>1498</v>
      </c>
      <c r="B1800" t="s">
        <v>3346</v>
      </c>
    </row>
    <row r="1801" spans="1:2">
      <c r="A1801" t="s">
        <v>1499</v>
      </c>
      <c r="B1801" t="s">
        <v>549</v>
      </c>
    </row>
    <row r="1802" spans="1:2">
      <c r="A1802" t="s">
        <v>1500</v>
      </c>
      <c r="B1802" t="s">
        <v>1963</v>
      </c>
    </row>
    <row r="1803" spans="1:2">
      <c r="A1803" t="s">
        <v>2553</v>
      </c>
      <c r="B1803" t="s">
        <v>2629</v>
      </c>
    </row>
    <row r="1804" spans="1:2">
      <c r="A1804" t="s">
        <v>2100</v>
      </c>
      <c r="B1804"/>
    </row>
    <row r="1805" spans="1:2">
      <c r="A1805" t="s">
        <v>2101</v>
      </c>
      <c r="B1805"/>
    </row>
    <row r="1806" spans="1:2">
      <c r="A1806" t="s">
        <v>2102</v>
      </c>
      <c r="B1806"/>
    </row>
    <row r="1807" spans="1:2">
      <c r="A1807" t="s">
        <v>3035</v>
      </c>
      <c r="B1807" t="s">
        <v>222</v>
      </c>
    </row>
    <row r="1808" spans="1:2">
      <c r="A1808" t="s">
        <v>1501</v>
      </c>
      <c r="B1808" t="s">
        <v>94</v>
      </c>
    </row>
    <row r="1809" spans="1:2">
      <c r="A1809" t="s">
        <v>1502</v>
      </c>
      <c r="B1809" t="s">
        <v>360</v>
      </c>
    </row>
    <row r="1810" spans="1:2">
      <c r="A1810" t="s">
        <v>1503</v>
      </c>
      <c r="B1810" t="s">
        <v>361</v>
      </c>
    </row>
    <row r="1811" spans="1:2">
      <c r="A1811" t="s">
        <v>1504</v>
      </c>
      <c r="B1811" t="s">
        <v>481</v>
      </c>
    </row>
    <row r="1812" spans="1:2">
      <c r="A1812" t="s">
        <v>1505</v>
      </c>
      <c r="B1812" t="s">
        <v>362</v>
      </c>
    </row>
    <row r="1813" spans="1:2">
      <c r="A1813" t="s">
        <v>1506</v>
      </c>
      <c r="B1813" t="s">
        <v>363</v>
      </c>
    </row>
    <row r="1814" spans="1:2">
      <c r="A1814" t="s">
        <v>1507</v>
      </c>
      <c r="B1814" t="s">
        <v>364</v>
      </c>
    </row>
    <row r="1815" spans="1:2">
      <c r="A1815" t="s">
        <v>2555</v>
      </c>
      <c r="B1815" t="s">
        <v>2634</v>
      </c>
    </row>
    <row r="1816" spans="1:2">
      <c r="A1816" t="s">
        <v>2103</v>
      </c>
      <c r="B1816"/>
    </row>
    <row r="1817" spans="1:2">
      <c r="A1817" t="s">
        <v>2104</v>
      </c>
      <c r="B1817"/>
    </row>
    <row r="1818" spans="1:2">
      <c r="A1818" t="s">
        <v>2105</v>
      </c>
      <c r="B1818" t="s">
        <v>1901</v>
      </c>
    </row>
    <row r="1819" spans="1:2">
      <c r="A1819" t="s">
        <v>3036</v>
      </c>
      <c r="B1819" t="s">
        <v>222</v>
      </c>
    </row>
    <row r="1820" spans="1:2">
      <c r="A1820" t="s">
        <v>1508</v>
      </c>
      <c r="B1820" t="s">
        <v>61</v>
      </c>
    </row>
    <row r="1821" spans="1:2">
      <c r="A1821" t="s">
        <v>1509</v>
      </c>
      <c r="B1821" t="s">
        <v>218</v>
      </c>
    </row>
    <row r="1822" spans="1:2">
      <c r="A1822" t="s">
        <v>1510</v>
      </c>
      <c r="B1822" t="s">
        <v>219</v>
      </c>
    </row>
    <row r="1823" spans="1:2">
      <c r="A1823" t="s">
        <v>1511</v>
      </c>
      <c r="B1823" t="s">
        <v>429</v>
      </c>
    </row>
    <row r="1824" spans="1:2">
      <c r="A1824" t="s">
        <v>1512</v>
      </c>
      <c r="B1824" t="s">
        <v>220</v>
      </c>
    </row>
    <row r="1825" spans="1:2">
      <c r="A1825" t="s">
        <v>1513</v>
      </c>
      <c r="B1825" t="s">
        <v>221</v>
      </c>
    </row>
    <row r="1826" spans="1:2">
      <c r="A1826" t="s">
        <v>1514</v>
      </c>
      <c r="B1826" t="s">
        <v>2557</v>
      </c>
    </row>
    <row r="1827" spans="1:2">
      <c r="A1827" t="s">
        <v>2556</v>
      </c>
      <c r="B1827" t="s">
        <v>2625</v>
      </c>
    </row>
    <row r="1828" spans="1:2">
      <c r="A1828" t="s">
        <v>2106</v>
      </c>
      <c r="B1828" t="s">
        <v>1902</v>
      </c>
    </row>
    <row r="1829" spans="1:2">
      <c r="A1829" t="s">
        <v>2107</v>
      </c>
      <c r="B1829" t="s">
        <v>1900</v>
      </c>
    </row>
    <row r="1830" spans="1:2">
      <c r="A1830" t="s">
        <v>2108</v>
      </c>
      <c r="B1830"/>
    </row>
    <row r="1831" spans="1:2">
      <c r="A1831" t="s">
        <v>3037</v>
      </c>
      <c r="B1831" t="s">
        <v>222</v>
      </c>
    </row>
    <row r="1832" spans="1:2">
      <c r="A1832" t="s">
        <v>1515</v>
      </c>
      <c r="B1832" t="s">
        <v>550</v>
      </c>
    </row>
    <row r="1833" spans="1:2">
      <c r="A1833" t="s">
        <v>1516</v>
      </c>
      <c r="B1833" t="s">
        <v>551</v>
      </c>
    </row>
    <row r="1834" spans="1:2">
      <c r="A1834" t="s">
        <v>1517</v>
      </c>
      <c r="B1834" t="s">
        <v>552</v>
      </c>
    </row>
    <row r="1835" spans="1:2">
      <c r="A1835" t="s">
        <v>1518</v>
      </c>
      <c r="B1835" t="s">
        <v>3391</v>
      </c>
    </row>
    <row r="1836" spans="1:2">
      <c r="A1836" t="s">
        <v>1519</v>
      </c>
      <c r="B1836" t="s">
        <v>3347</v>
      </c>
    </row>
    <row r="1837" spans="1:2">
      <c r="A1837" t="s">
        <v>1520</v>
      </c>
      <c r="B1837" t="s">
        <v>553</v>
      </c>
    </row>
    <row r="1838" spans="1:2">
      <c r="A1838" t="s">
        <v>1521</v>
      </c>
      <c r="B1838" t="s">
        <v>1963</v>
      </c>
    </row>
    <row r="1839" spans="1:2">
      <c r="A1839" t="s">
        <v>2558</v>
      </c>
      <c r="B1839" t="s">
        <v>2629</v>
      </c>
    </row>
    <row r="1840" spans="1:2">
      <c r="A1840" t="s">
        <v>2109</v>
      </c>
      <c r="B1840"/>
    </row>
    <row r="1841" spans="1:2">
      <c r="A1841" t="s">
        <v>2110</v>
      </c>
      <c r="B1841"/>
    </row>
    <row r="1842" spans="1:2">
      <c r="A1842" t="s">
        <v>2111</v>
      </c>
      <c r="B1842"/>
    </row>
    <row r="1843" spans="1:2">
      <c r="A1843" t="s">
        <v>3038</v>
      </c>
      <c r="B1843" t="s">
        <v>222</v>
      </c>
    </row>
    <row r="1844" spans="1:2">
      <c r="A1844" t="s">
        <v>1522</v>
      </c>
      <c r="B1844" t="s">
        <v>554</v>
      </c>
    </row>
    <row r="1845" spans="1:2">
      <c r="A1845" t="s">
        <v>1523</v>
      </c>
      <c r="B1845" t="s">
        <v>555</v>
      </c>
    </row>
    <row r="1846" spans="1:2">
      <c r="A1846" t="s">
        <v>1524</v>
      </c>
      <c r="B1846" t="s">
        <v>556</v>
      </c>
    </row>
    <row r="1847" spans="1:2">
      <c r="A1847" t="s">
        <v>1525</v>
      </c>
      <c r="B1847" t="s">
        <v>3383</v>
      </c>
    </row>
    <row r="1848" spans="1:2">
      <c r="A1848" t="s">
        <v>1526</v>
      </c>
      <c r="B1848" t="s">
        <v>3348</v>
      </c>
    </row>
    <row r="1849" spans="1:2">
      <c r="A1849" t="s">
        <v>1527</v>
      </c>
      <c r="B1849" t="s">
        <v>557</v>
      </c>
    </row>
    <row r="1850" spans="1:2">
      <c r="A1850" t="s">
        <v>1528</v>
      </c>
      <c r="B1850" t="s">
        <v>1963</v>
      </c>
    </row>
    <row r="1851" spans="1:2">
      <c r="A1851" t="s">
        <v>2559</v>
      </c>
      <c r="B1851" t="s">
        <v>2629</v>
      </c>
    </row>
    <row r="1852" spans="1:2">
      <c r="A1852" t="s">
        <v>2112</v>
      </c>
      <c r="B1852"/>
    </row>
    <row r="1853" spans="1:2">
      <c r="A1853" t="s">
        <v>2113</v>
      </c>
      <c r="B1853"/>
    </row>
    <row r="1854" spans="1:2">
      <c r="A1854" t="s">
        <v>2114</v>
      </c>
      <c r="B1854"/>
    </row>
    <row r="1855" spans="1:2">
      <c r="A1855" t="s">
        <v>3039</v>
      </c>
      <c r="B1855" t="s">
        <v>222</v>
      </c>
    </row>
    <row r="1856" spans="1:2">
      <c r="A1856" t="s">
        <v>1529</v>
      </c>
      <c r="B1856" t="s">
        <v>558</v>
      </c>
    </row>
    <row r="1857" spans="1:2">
      <c r="A1857" t="s">
        <v>1530</v>
      </c>
      <c r="B1857" t="s">
        <v>559</v>
      </c>
    </row>
    <row r="1858" spans="1:2">
      <c r="A1858" t="s">
        <v>1531</v>
      </c>
      <c r="B1858" t="s">
        <v>560</v>
      </c>
    </row>
    <row r="1859" spans="1:2">
      <c r="A1859" t="s">
        <v>1532</v>
      </c>
      <c r="B1859" t="s">
        <v>3388</v>
      </c>
    </row>
    <row r="1860" spans="1:2">
      <c r="A1860" t="s">
        <v>1533</v>
      </c>
      <c r="B1860" t="s">
        <v>3349</v>
      </c>
    </row>
    <row r="1861" spans="1:2">
      <c r="A1861" t="s">
        <v>1534</v>
      </c>
      <c r="B1861" t="s">
        <v>561</v>
      </c>
    </row>
    <row r="1862" spans="1:2">
      <c r="A1862" t="s">
        <v>1535</v>
      </c>
      <c r="B1862" t="s">
        <v>1963</v>
      </c>
    </row>
    <row r="1863" spans="1:2">
      <c r="A1863" t="s">
        <v>2560</v>
      </c>
      <c r="B1863" t="s">
        <v>2629</v>
      </c>
    </row>
    <row r="1864" spans="1:2">
      <c r="A1864" t="s">
        <v>2115</v>
      </c>
      <c r="B1864"/>
    </row>
    <row r="1865" spans="1:2">
      <c r="A1865" t="s">
        <v>2116</v>
      </c>
      <c r="B1865"/>
    </row>
    <row r="1866" spans="1:2">
      <c r="A1866" t="s">
        <v>2117</v>
      </c>
      <c r="B1866"/>
    </row>
    <row r="1867" spans="1:2">
      <c r="A1867" t="s">
        <v>3040</v>
      </c>
      <c r="B1867" t="s">
        <v>222</v>
      </c>
    </row>
    <row r="1868" spans="1:2">
      <c r="A1868" t="s">
        <v>1536</v>
      </c>
      <c r="B1868" t="s">
        <v>71</v>
      </c>
    </row>
    <row r="1869" spans="1:2">
      <c r="A1869" t="s">
        <v>1537</v>
      </c>
      <c r="B1869" t="s">
        <v>264</v>
      </c>
    </row>
    <row r="1870" spans="1:2">
      <c r="A1870" t="s">
        <v>1538</v>
      </c>
      <c r="B1870" t="s">
        <v>265</v>
      </c>
    </row>
    <row r="1871" spans="1:2">
      <c r="A1871" t="s">
        <v>1539</v>
      </c>
      <c r="B1871" t="s">
        <v>457</v>
      </c>
    </row>
    <row r="1872" spans="1:2">
      <c r="A1872" t="s">
        <v>1540</v>
      </c>
      <c r="B1872" t="s">
        <v>266</v>
      </c>
    </row>
    <row r="1873" spans="1:2">
      <c r="A1873" t="s">
        <v>1541</v>
      </c>
      <c r="B1873" t="s">
        <v>267</v>
      </c>
    </row>
    <row r="1874" spans="1:2">
      <c r="A1874" t="s">
        <v>1542</v>
      </c>
      <c r="B1874" t="s">
        <v>1962</v>
      </c>
    </row>
    <row r="1875" spans="1:2">
      <c r="A1875" t="s">
        <v>2561</v>
      </c>
      <c r="B1875" t="s">
        <v>2626</v>
      </c>
    </row>
    <row r="1876" spans="1:2">
      <c r="A1876" t="s">
        <v>2118</v>
      </c>
      <c r="B1876"/>
    </row>
    <row r="1877" spans="1:2">
      <c r="A1877" t="s">
        <v>2119</v>
      </c>
      <c r="B1877" t="s">
        <v>1900</v>
      </c>
    </row>
    <row r="1878" spans="1:2">
      <c r="A1878" t="s">
        <v>2120</v>
      </c>
      <c r="B1878"/>
    </row>
    <row r="1879" spans="1:2">
      <c r="A1879" t="s">
        <v>3041</v>
      </c>
      <c r="B1879" t="s">
        <v>268</v>
      </c>
    </row>
    <row r="1880" spans="1:2">
      <c r="A1880" t="s">
        <v>1543</v>
      </c>
      <c r="B1880" t="s">
        <v>562</v>
      </c>
    </row>
    <row r="1881" spans="1:2">
      <c r="A1881" t="s">
        <v>1544</v>
      </c>
      <c r="B1881" t="s">
        <v>563</v>
      </c>
    </row>
    <row r="1882" spans="1:2">
      <c r="A1882" t="s">
        <v>1545</v>
      </c>
      <c r="B1882" t="s">
        <v>2563</v>
      </c>
    </row>
    <row r="1883" spans="1:2">
      <c r="A1883" t="s">
        <v>1546</v>
      </c>
      <c r="B1883" t="s">
        <v>3399</v>
      </c>
    </row>
    <row r="1884" spans="1:2">
      <c r="A1884" t="s">
        <v>1547</v>
      </c>
      <c r="B1884" t="s">
        <v>3350</v>
      </c>
    </row>
    <row r="1885" spans="1:2">
      <c r="A1885" t="s">
        <v>1548</v>
      </c>
      <c r="B1885" t="s">
        <v>564</v>
      </c>
    </row>
    <row r="1886" spans="1:2">
      <c r="A1886" t="s">
        <v>1549</v>
      </c>
      <c r="B1886" t="s">
        <v>3400</v>
      </c>
    </row>
    <row r="1887" spans="1:2">
      <c r="A1887" t="s">
        <v>2562</v>
      </c>
      <c r="B1887" t="s">
        <v>2629</v>
      </c>
    </row>
    <row r="1888" spans="1:2">
      <c r="A1888" t="s">
        <v>2121</v>
      </c>
      <c r="B1888"/>
    </row>
    <row r="1889" spans="1:2">
      <c r="A1889" t="s">
        <v>2122</v>
      </c>
      <c r="B1889"/>
    </row>
    <row r="1890" spans="1:2">
      <c r="A1890" t="s">
        <v>2123</v>
      </c>
      <c r="B1890"/>
    </row>
    <row r="1891" spans="1:2">
      <c r="A1891" t="s">
        <v>3042</v>
      </c>
      <c r="B1891" t="s">
        <v>268</v>
      </c>
    </row>
    <row r="1892" spans="1:2">
      <c r="A1892" t="s">
        <v>1550</v>
      </c>
      <c r="B1892" t="s">
        <v>72</v>
      </c>
    </row>
    <row r="1893" spans="1:2">
      <c r="A1893" t="s">
        <v>1551</v>
      </c>
      <c r="B1893" t="s">
        <v>269</v>
      </c>
    </row>
    <row r="1894" spans="1:2">
      <c r="A1894" t="s">
        <v>1552</v>
      </c>
      <c r="B1894" t="s">
        <v>270</v>
      </c>
    </row>
    <row r="1895" spans="1:2">
      <c r="A1895" t="s">
        <v>1553</v>
      </c>
      <c r="B1895" t="s">
        <v>458</v>
      </c>
    </row>
    <row r="1896" spans="1:2">
      <c r="A1896" t="s">
        <v>1554</v>
      </c>
      <c r="B1896" t="s">
        <v>271</v>
      </c>
    </row>
    <row r="1897" spans="1:2">
      <c r="A1897" t="s">
        <v>1555</v>
      </c>
      <c r="B1897" t="s">
        <v>272</v>
      </c>
    </row>
    <row r="1898" spans="1:2">
      <c r="A1898" t="s">
        <v>1556</v>
      </c>
      <c r="B1898" t="s">
        <v>1962</v>
      </c>
    </row>
    <row r="1899" spans="1:2">
      <c r="A1899" t="s">
        <v>2564</v>
      </c>
      <c r="B1899" t="s">
        <v>2630</v>
      </c>
    </row>
    <row r="1900" spans="1:2">
      <c r="A1900" t="s">
        <v>2124</v>
      </c>
      <c r="B1900"/>
    </row>
    <row r="1901" spans="1:2">
      <c r="A1901" t="s">
        <v>2125</v>
      </c>
      <c r="B1901" t="s">
        <v>1900</v>
      </c>
    </row>
    <row r="1902" spans="1:2">
      <c r="A1902" t="s">
        <v>2126</v>
      </c>
      <c r="B1902" t="s">
        <v>1901</v>
      </c>
    </row>
    <row r="1903" spans="1:2">
      <c r="A1903" t="s">
        <v>3043</v>
      </c>
      <c r="B1903" t="s">
        <v>268</v>
      </c>
    </row>
    <row r="1904" spans="1:2">
      <c r="A1904" t="s">
        <v>1557</v>
      </c>
      <c r="B1904" t="s">
        <v>73</v>
      </c>
    </row>
    <row r="1905" spans="1:2">
      <c r="A1905" t="s">
        <v>1558</v>
      </c>
      <c r="B1905" t="s">
        <v>273</v>
      </c>
    </row>
    <row r="1906" spans="1:2">
      <c r="A1906" t="s">
        <v>1559</v>
      </c>
      <c r="B1906" t="s">
        <v>274</v>
      </c>
    </row>
    <row r="1907" spans="1:2">
      <c r="A1907" t="s">
        <v>1560</v>
      </c>
      <c r="B1907" t="s">
        <v>459</v>
      </c>
    </row>
    <row r="1908" spans="1:2">
      <c r="A1908" t="s">
        <v>1561</v>
      </c>
      <c r="B1908" t="s">
        <v>275</v>
      </c>
    </row>
    <row r="1909" spans="1:2">
      <c r="A1909" t="s">
        <v>1562</v>
      </c>
      <c r="B1909" t="s">
        <v>276</v>
      </c>
    </row>
    <row r="1910" spans="1:2">
      <c r="A1910" t="s">
        <v>1563</v>
      </c>
      <c r="B1910" t="s">
        <v>1962</v>
      </c>
    </row>
    <row r="1911" spans="1:2">
      <c r="A1911" t="s">
        <v>2565</v>
      </c>
      <c r="B1911" t="s">
        <v>2630</v>
      </c>
    </row>
    <row r="1912" spans="1:2">
      <c r="A1912" t="s">
        <v>2127</v>
      </c>
      <c r="B1912"/>
    </row>
    <row r="1913" spans="1:2">
      <c r="A1913" t="s">
        <v>2128</v>
      </c>
      <c r="B1913" t="s">
        <v>1900</v>
      </c>
    </row>
    <row r="1914" spans="1:2">
      <c r="A1914" t="s">
        <v>2129</v>
      </c>
      <c r="B1914" t="s">
        <v>1901</v>
      </c>
    </row>
    <row r="1915" spans="1:2">
      <c r="A1915" t="s">
        <v>3044</v>
      </c>
      <c r="B1915" t="s">
        <v>268</v>
      </c>
    </row>
    <row r="1916" spans="1:2">
      <c r="A1916" t="s">
        <v>1564</v>
      </c>
      <c r="B1916" t="s">
        <v>74</v>
      </c>
    </row>
    <row r="1917" spans="1:2">
      <c r="A1917" t="s">
        <v>1565</v>
      </c>
      <c r="B1917" t="s">
        <v>277</v>
      </c>
    </row>
    <row r="1918" spans="1:2">
      <c r="A1918" t="s">
        <v>1566</v>
      </c>
      <c r="B1918" t="s">
        <v>278</v>
      </c>
    </row>
    <row r="1919" spans="1:2">
      <c r="A1919" t="s">
        <v>1567</v>
      </c>
      <c r="B1919" t="s">
        <v>460</v>
      </c>
    </row>
    <row r="1920" spans="1:2">
      <c r="A1920" t="s">
        <v>1568</v>
      </c>
      <c r="B1920" t="s">
        <v>279</v>
      </c>
    </row>
    <row r="1921" spans="1:2">
      <c r="A1921" t="s">
        <v>1569</v>
      </c>
      <c r="B1921" t="s">
        <v>280</v>
      </c>
    </row>
    <row r="1922" spans="1:2">
      <c r="A1922" t="s">
        <v>1570</v>
      </c>
      <c r="B1922" t="s">
        <v>1962</v>
      </c>
    </row>
    <row r="1923" spans="1:2">
      <c r="A1923" t="s">
        <v>2566</v>
      </c>
      <c r="B1923" t="s">
        <v>2626</v>
      </c>
    </row>
    <row r="1924" spans="1:2">
      <c r="A1924" t="s">
        <v>2130</v>
      </c>
      <c r="B1924"/>
    </row>
    <row r="1925" spans="1:2">
      <c r="A1925" t="s">
        <v>2131</v>
      </c>
      <c r="B1925" t="s">
        <v>1900</v>
      </c>
    </row>
    <row r="1926" spans="1:2">
      <c r="A1926" t="s">
        <v>2132</v>
      </c>
      <c r="B1926"/>
    </row>
    <row r="1927" spans="1:2">
      <c r="A1927" t="s">
        <v>3045</v>
      </c>
      <c r="B1927" t="s">
        <v>268</v>
      </c>
    </row>
    <row r="1928" spans="1:2">
      <c r="A1928" t="s">
        <v>1571</v>
      </c>
      <c r="B1928" t="s">
        <v>565</v>
      </c>
    </row>
    <row r="1929" spans="1:2">
      <c r="A1929" t="s">
        <v>1572</v>
      </c>
      <c r="B1929" t="s">
        <v>566</v>
      </c>
    </row>
    <row r="1930" spans="1:2">
      <c r="A1930" t="s">
        <v>1573</v>
      </c>
      <c r="B1930" t="s">
        <v>567</v>
      </c>
    </row>
    <row r="1931" spans="1:2">
      <c r="A1931" t="s">
        <v>1574</v>
      </c>
      <c r="B1931" t="s">
        <v>3401</v>
      </c>
    </row>
    <row r="1932" spans="1:2">
      <c r="A1932" t="s">
        <v>1575</v>
      </c>
      <c r="B1932" t="s">
        <v>3351</v>
      </c>
    </row>
    <row r="1933" spans="1:2">
      <c r="A1933" t="s">
        <v>1576</v>
      </c>
      <c r="B1933" t="s">
        <v>568</v>
      </c>
    </row>
    <row r="1934" spans="1:2">
      <c r="A1934" t="s">
        <v>1577</v>
      </c>
      <c r="B1934" t="s">
        <v>1971</v>
      </c>
    </row>
    <row r="1935" spans="1:2">
      <c r="A1935" t="s">
        <v>2567</v>
      </c>
      <c r="B1935" t="s">
        <v>2629</v>
      </c>
    </row>
    <row r="1936" spans="1:2">
      <c r="A1936" t="s">
        <v>2133</v>
      </c>
      <c r="B1936"/>
    </row>
    <row r="1937" spans="1:2">
      <c r="A1937" t="s">
        <v>2134</v>
      </c>
      <c r="B1937"/>
    </row>
    <row r="1938" spans="1:2">
      <c r="A1938" t="s">
        <v>2135</v>
      </c>
      <c r="B1938"/>
    </row>
    <row r="1939" spans="1:2">
      <c r="A1939" t="s">
        <v>3046</v>
      </c>
      <c r="B1939" t="s">
        <v>268</v>
      </c>
    </row>
    <row r="1940" spans="1:2">
      <c r="A1940" t="s">
        <v>1578</v>
      </c>
      <c r="B1940" t="s">
        <v>153</v>
      </c>
    </row>
    <row r="1941" spans="1:2">
      <c r="A1941" t="s">
        <v>1579</v>
      </c>
      <c r="B1941" t="s">
        <v>569</v>
      </c>
    </row>
    <row r="1942" spans="1:2">
      <c r="A1942" t="s">
        <v>1580</v>
      </c>
      <c r="B1942" t="s">
        <v>570</v>
      </c>
    </row>
    <row r="1943" spans="1:2">
      <c r="A1943" t="s">
        <v>1581</v>
      </c>
      <c r="B1943" t="s">
        <v>496</v>
      </c>
    </row>
    <row r="1944" spans="1:2">
      <c r="A1944" t="s">
        <v>1582</v>
      </c>
      <c r="B1944" t="s">
        <v>3352</v>
      </c>
    </row>
    <row r="1945" spans="1:2">
      <c r="A1945" t="s">
        <v>1583</v>
      </c>
      <c r="B1945" t="s">
        <v>571</v>
      </c>
    </row>
    <row r="1946" spans="1:2">
      <c r="A1946" t="s">
        <v>1584</v>
      </c>
      <c r="B1946" t="s">
        <v>1964</v>
      </c>
    </row>
    <row r="1947" spans="1:2">
      <c r="A1947" t="s">
        <v>2568</v>
      </c>
      <c r="B1947" t="s">
        <v>2629</v>
      </c>
    </row>
    <row r="1948" spans="1:2">
      <c r="A1948" t="s">
        <v>2136</v>
      </c>
      <c r="B1948"/>
    </row>
    <row r="1949" spans="1:2">
      <c r="A1949" t="s">
        <v>2137</v>
      </c>
      <c r="B1949"/>
    </row>
    <row r="1950" spans="1:2">
      <c r="A1950" t="s">
        <v>2138</v>
      </c>
      <c r="B1950"/>
    </row>
    <row r="1951" spans="1:2">
      <c r="A1951" t="s">
        <v>3047</v>
      </c>
      <c r="B1951" t="s">
        <v>227</v>
      </c>
    </row>
    <row r="1952" spans="1:2">
      <c r="A1952" t="s">
        <v>1585</v>
      </c>
      <c r="B1952" t="s">
        <v>95</v>
      </c>
    </row>
    <row r="1953" spans="1:2">
      <c r="A1953" t="s">
        <v>1586</v>
      </c>
      <c r="B1953" t="s">
        <v>365</v>
      </c>
    </row>
    <row r="1954" spans="1:2">
      <c r="A1954" t="s">
        <v>1587</v>
      </c>
      <c r="B1954" t="s">
        <v>366</v>
      </c>
    </row>
    <row r="1955" spans="1:2">
      <c r="A1955" t="s">
        <v>1588</v>
      </c>
      <c r="B1955" t="s">
        <v>482</v>
      </c>
    </row>
    <row r="1956" spans="1:2">
      <c r="A1956" t="s">
        <v>1589</v>
      </c>
      <c r="B1956" t="s">
        <v>367</v>
      </c>
    </row>
    <row r="1957" spans="1:2">
      <c r="A1957" t="s">
        <v>1590</v>
      </c>
      <c r="B1957" t="s">
        <v>368</v>
      </c>
    </row>
    <row r="1958" spans="1:2">
      <c r="A1958" t="s">
        <v>1591</v>
      </c>
      <c r="B1958" t="s">
        <v>1962</v>
      </c>
    </row>
    <row r="1959" spans="1:2">
      <c r="A1959" t="s">
        <v>2569</v>
      </c>
      <c r="B1959" t="s">
        <v>2627</v>
      </c>
    </row>
    <row r="1960" spans="1:2">
      <c r="A1960" t="s">
        <v>2139</v>
      </c>
      <c r="B1960"/>
    </row>
    <row r="1961" spans="1:2">
      <c r="A1961" t="s">
        <v>2140</v>
      </c>
      <c r="B1961"/>
    </row>
    <row r="1962" spans="1:2">
      <c r="A1962" t="s">
        <v>2141</v>
      </c>
      <c r="B1962" t="s">
        <v>1901</v>
      </c>
    </row>
    <row r="1963" spans="1:2">
      <c r="A1963" t="s">
        <v>3048</v>
      </c>
      <c r="B1963" t="s">
        <v>227</v>
      </c>
    </row>
    <row r="1964" spans="1:2">
      <c r="A1964" t="s">
        <v>1592</v>
      </c>
      <c r="B1964" t="s">
        <v>62</v>
      </c>
    </row>
    <row r="1965" spans="1:2">
      <c r="A1965" t="s">
        <v>1593</v>
      </c>
      <c r="B1965" t="s">
        <v>223</v>
      </c>
    </row>
    <row r="1966" spans="1:2">
      <c r="A1966" t="s">
        <v>1594</v>
      </c>
      <c r="B1966" t="s">
        <v>224</v>
      </c>
    </row>
    <row r="1967" spans="1:2">
      <c r="A1967" t="s">
        <v>1595</v>
      </c>
      <c r="B1967" t="s">
        <v>430</v>
      </c>
    </row>
    <row r="1968" spans="1:2">
      <c r="A1968" t="s">
        <v>1596</v>
      </c>
      <c r="B1968" t="s">
        <v>225</v>
      </c>
    </row>
    <row r="1969" spans="1:2">
      <c r="A1969" t="s">
        <v>1597</v>
      </c>
      <c r="B1969" t="s">
        <v>226</v>
      </c>
    </row>
    <row r="1970" spans="1:2">
      <c r="A1970" t="s">
        <v>1598</v>
      </c>
      <c r="B1970" t="s">
        <v>2557</v>
      </c>
    </row>
    <row r="1971" spans="1:2">
      <c r="A1971" t="s">
        <v>2570</v>
      </c>
      <c r="B1971" t="s">
        <v>2631</v>
      </c>
    </row>
    <row r="1972" spans="1:2">
      <c r="A1972" t="s">
        <v>2142</v>
      </c>
      <c r="B1972" t="s">
        <v>1902</v>
      </c>
    </row>
    <row r="1973" spans="1:2">
      <c r="A1973" t="s">
        <v>2143</v>
      </c>
      <c r="B1973" t="s">
        <v>1900</v>
      </c>
    </row>
    <row r="1974" spans="1:2">
      <c r="A1974" t="s">
        <v>2144</v>
      </c>
      <c r="B1974" t="s">
        <v>1901</v>
      </c>
    </row>
    <row r="1975" spans="1:2">
      <c r="A1975" t="s">
        <v>3049</v>
      </c>
      <c r="B1975" t="s">
        <v>227</v>
      </c>
    </row>
    <row r="1976" spans="1:2">
      <c r="A1976" t="s">
        <v>1599</v>
      </c>
      <c r="B1976" t="s">
        <v>96</v>
      </c>
    </row>
    <row r="1977" spans="1:2">
      <c r="A1977" t="s">
        <v>1600</v>
      </c>
      <c r="B1977" t="s">
        <v>369</v>
      </c>
    </row>
    <row r="1978" spans="1:2">
      <c r="A1978" t="s">
        <v>1601</v>
      </c>
      <c r="B1978" t="s">
        <v>370</v>
      </c>
    </row>
    <row r="1979" spans="1:2">
      <c r="A1979" t="s">
        <v>1602</v>
      </c>
      <c r="B1979" t="s">
        <v>483</v>
      </c>
    </row>
    <row r="1980" spans="1:2">
      <c r="A1980" t="s">
        <v>1603</v>
      </c>
      <c r="B1980" t="s">
        <v>371</v>
      </c>
    </row>
    <row r="1981" spans="1:2">
      <c r="A1981" t="s">
        <v>1604</v>
      </c>
      <c r="B1981" t="s">
        <v>372</v>
      </c>
    </row>
    <row r="1982" spans="1:2">
      <c r="A1982" t="s">
        <v>1605</v>
      </c>
      <c r="B1982" t="s">
        <v>1962</v>
      </c>
    </row>
    <row r="1983" spans="1:2">
      <c r="A1983" t="s">
        <v>2571</v>
      </c>
      <c r="B1983" t="s">
        <v>2627</v>
      </c>
    </row>
    <row r="1984" spans="1:2">
      <c r="A1984" t="s">
        <v>2145</v>
      </c>
      <c r="B1984"/>
    </row>
    <row r="1985" spans="1:2">
      <c r="A1985" t="s">
        <v>2146</v>
      </c>
      <c r="B1985"/>
    </row>
    <row r="1986" spans="1:2">
      <c r="A1986" t="s">
        <v>2147</v>
      </c>
      <c r="B1986" t="s">
        <v>1901</v>
      </c>
    </row>
    <row r="1987" spans="1:2">
      <c r="A1987" t="s">
        <v>3050</v>
      </c>
      <c r="B1987" t="s">
        <v>227</v>
      </c>
    </row>
    <row r="1988" spans="1:2">
      <c r="A1988" t="s">
        <v>1606</v>
      </c>
      <c r="B1988" t="s">
        <v>97</v>
      </c>
    </row>
    <row r="1989" spans="1:2">
      <c r="A1989" t="s">
        <v>1607</v>
      </c>
      <c r="B1989" t="s">
        <v>373</v>
      </c>
    </row>
    <row r="1990" spans="1:2">
      <c r="A1990" t="s">
        <v>1608</v>
      </c>
      <c r="B1990" t="s">
        <v>2493</v>
      </c>
    </row>
    <row r="1991" spans="1:2">
      <c r="A1991" t="s">
        <v>1609</v>
      </c>
      <c r="B1991" t="s">
        <v>484</v>
      </c>
    </row>
    <row r="1992" spans="1:2">
      <c r="A1992" t="s">
        <v>1610</v>
      </c>
      <c r="B1992" t="s">
        <v>374</v>
      </c>
    </row>
    <row r="1993" spans="1:2">
      <c r="A1993" t="s">
        <v>1611</v>
      </c>
      <c r="B1993" t="s">
        <v>375</v>
      </c>
    </row>
    <row r="1994" spans="1:2">
      <c r="A1994" t="s">
        <v>1612</v>
      </c>
      <c r="B1994" t="s">
        <v>111</v>
      </c>
    </row>
    <row r="1995" spans="1:2">
      <c r="A1995" t="s">
        <v>2572</v>
      </c>
      <c r="B1995" t="s">
        <v>2627</v>
      </c>
    </row>
    <row r="1996" spans="1:2">
      <c r="A1996" t="s">
        <v>2148</v>
      </c>
      <c r="B1996"/>
    </row>
    <row r="1997" spans="1:2">
      <c r="A1997" t="s">
        <v>2149</v>
      </c>
      <c r="B1997"/>
    </row>
    <row r="1998" spans="1:2">
      <c r="A1998" t="s">
        <v>2150</v>
      </c>
      <c r="B1998" t="s">
        <v>1901</v>
      </c>
    </row>
    <row r="1999" spans="1:2">
      <c r="A1999" t="s">
        <v>3051</v>
      </c>
      <c r="B1999" t="s">
        <v>227</v>
      </c>
    </row>
    <row r="2000" spans="1:2">
      <c r="A2000" t="s">
        <v>1613</v>
      </c>
      <c r="B2000" t="s">
        <v>98</v>
      </c>
    </row>
    <row r="2001" spans="1:2">
      <c r="A2001" t="s">
        <v>1614</v>
      </c>
      <c r="B2001" t="s">
        <v>376</v>
      </c>
    </row>
    <row r="2002" spans="1:2">
      <c r="A2002" t="s">
        <v>1615</v>
      </c>
      <c r="B2002" t="s">
        <v>377</v>
      </c>
    </row>
    <row r="2003" spans="1:2">
      <c r="A2003" t="s">
        <v>1616</v>
      </c>
      <c r="B2003" t="s">
        <v>485</v>
      </c>
    </row>
    <row r="2004" spans="1:2">
      <c r="A2004" t="s">
        <v>1617</v>
      </c>
      <c r="B2004" t="s">
        <v>378</v>
      </c>
    </row>
    <row r="2005" spans="1:2">
      <c r="A2005" t="s">
        <v>1618</v>
      </c>
      <c r="B2005" t="s">
        <v>379</v>
      </c>
    </row>
    <row r="2006" spans="1:2">
      <c r="A2006" t="s">
        <v>1619</v>
      </c>
      <c r="B2006" t="s">
        <v>111</v>
      </c>
    </row>
    <row r="2007" spans="1:2">
      <c r="A2007" t="s">
        <v>2573</v>
      </c>
      <c r="B2007" t="s">
        <v>2627</v>
      </c>
    </row>
    <row r="2008" spans="1:2">
      <c r="A2008" t="s">
        <v>2151</v>
      </c>
      <c r="B2008"/>
    </row>
    <row r="2009" spans="1:2">
      <c r="A2009" t="s">
        <v>2152</v>
      </c>
      <c r="B2009"/>
    </row>
    <row r="2010" spans="1:2">
      <c r="A2010" t="s">
        <v>2153</v>
      </c>
      <c r="B2010" t="s">
        <v>1901</v>
      </c>
    </row>
    <row r="2011" spans="1:2">
      <c r="A2011" t="s">
        <v>3052</v>
      </c>
      <c r="B2011" t="s">
        <v>227</v>
      </c>
    </row>
    <row r="2012" spans="1:2">
      <c r="A2012" t="s">
        <v>1620</v>
      </c>
      <c r="B2012" t="s">
        <v>572</v>
      </c>
    </row>
    <row r="2013" spans="1:2">
      <c r="A2013" t="s">
        <v>1621</v>
      </c>
      <c r="B2013" t="s">
        <v>573</v>
      </c>
    </row>
    <row r="2014" spans="1:2">
      <c r="A2014" t="s">
        <v>1622</v>
      </c>
      <c r="B2014" t="s">
        <v>574</v>
      </c>
    </row>
    <row r="2015" spans="1:2">
      <c r="A2015" t="s">
        <v>1623</v>
      </c>
      <c r="B2015" t="s">
        <v>3402</v>
      </c>
    </row>
    <row r="2016" spans="1:2">
      <c r="A2016" t="s">
        <v>1624</v>
      </c>
      <c r="B2016" t="s">
        <v>3353</v>
      </c>
    </row>
    <row r="2017" spans="1:2">
      <c r="A2017" t="s">
        <v>1625</v>
      </c>
      <c r="B2017" t="s">
        <v>575</v>
      </c>
    </row>
    <row r="2018" spans="1:2">
      <c r="A2018" t="s">
        <v>1626</v>
      </c>
      <c r="B2018" t="s">
        <v>2538</v>
      </c>
    </row>
    <row r="2019" spans="1:2">
      <c r="A2019" t="s">
        <v>2574</v>
      </c>
      <c r="B2019" t="s">
        <v>2629</v>
      </c>
    </row>
    <row r="2020" spans="1:2">
      <c r="A2020" t="s">
        <v>2154</v>
      </c>
      <c r="B2020"/>
    </row>
    <row r="2021" spans="1:2">
      <c r="A2021" t="s">
        <v>2155</v>
      </c>
      <c r="B2021"/>
    </row>
    <row r="2022" spans="1:2">
      <c r="A2022" t="s">
        <v>2156</v>
      </c>
      <c r="B2022"/>
    </row>
    <row r="2023" spans="1:2">
      <c r="A2023" t="s">
        <v>3053</v>
      </c>
      <c r="B2023" t="s">
        <v>227</v>
      </c>
    </row>
    <row r="2024" spans="1:2">
      <c r="A2024" t="s">
        <v>1627</v>
      </c>
      <c r="B2024" t="s">
        <v>63</v>
      </c>
    </row>
    <row r="2025" spans="1:2">
      <c r="A2025" t="s">
        <v>1628</v>
      </c>
      <c r="B2025" t="s">
        <v>228</v>
      </c>
    </row>
    <row r="2026" spans="1:2">
      <c r="A2026" t="s">
        <v>1629</v>
      </c>
      <c r="B2026" t="s">
        <v>229</v>
      </c>
    </row>
    <row r="2027" spans="1:2">
      <c r="A2027" t="s">
        <v>1630</v>
      </c>
      <c r="B2027" t="s">
        <v>431</v>
      </c>
    </row>
    <row r="2028" spans="1:2">
      <c r="A2028" t="s">
        <v>1631</v>
      </c>
      <c r="B2028" t="s">
        <v>3354</v>
      </c>
    </row>
    <row r="2029" spans="1:2">
      <c r="A2029" t="s">
        <v>1632</v>
      </c>
      <c r="B2029" t="s">
        <v>230</v>
      </c>
    </row>
    <row r="2030" spans="1:2">
      <c r="A2030" t="s">
        <v>1633</v>
      </c>
      <c r="B2030" t="s">
        <v>2557</v>
      </c>
    </row>
    <row r="2031" spans="1:2">
      <c r="A2031" t="s">
        <v>2575</v>
      </c>
      <c r="B2031" t="s">
        <v>2635</v>
      </c>
    </row>
    <row r="2032" spans="1:2">
      <c r="A2032" t="s">
        <v>2157</v>
      </c>
      <c r="B2032" t="s">
        <v>1902</v>
      </c>
    </row>
    <row r="2033" spans="1:2">
      <c r="A2033" t="s">
        <v>2158</v>
      </c>
      <c r="B2033"/>
    </row>
    <row r="2034" spans="1:2">
      <c r="A2034" t="s">
        <v>2159</v>
      </c>
      <c r="B2034" t="s">
        <v>1901</v>
      </c>
    </row>
    <row r="2035" spans="1:2">
      <c r="A2035" t="s">
        <v>3054</v>
      </c>
      <c r="B2035" t="s">
        <v>227</v>
      </c>
    </row>
    <row r="2036" spans="1:2">
      <c r="A2036" t="s">
        <v>1634</v>
      </c>
      <c r="B2036" t="s">
        <v>99</v>
      </c>
    </row>
    <row r="2037" spans="1:2">
      <c r="A2037" t="s">
        <v>1635</v>
      </c>
      <c r="B2037" t="s">
        <v>380</v>
      </c>
    </row>
    <row r="2038" spans="1:2">
      <c r="A2038" t="s">
        <v>1636</v>
      </c>
      <c r="B2038" t="s">
        <v>381</v>
      </c>
    </row>
    <row r="2039" spans="1:2">
      <c r="A2039" t="s">
        <v>1637</v>
      </c>
      <c r="B2039" t="s">
        <v>486</v>
      </c>
    </row>
    <row r="2040" spans="1:2">
      <c r="A2040" t="s">
        <v>1638</v>
      </c>
      <c r="B2040" t="s">
        <v>382</v>
      </c>
    </row>
    <row r="2041" spans="1:2">
      <c r="A2041" t="s">
        <v>1639</v>
      </c>
      <c r="B2041" t="s">
        <v>383</v>
      </c>
    </row>
    <row r="2042" spans="1:2">
      <c r="A2042" t="s">
        <v>1640</v>
      </c>
      <c r="B2042" t="s">
        <v>1970</v>
      </c>
    </row>
    <row r="2043" spans="1:2">
      <c r="A2043" t="s">
        <v>2576</v>
      </c>
      <c r="B2043" t="s">
        <v>2627</v>
      </c>
    </row>
    <row r="2044" spans="1:2">
      <c r="A2044" t="s">
        <v>2160</v>
      </c>
      <c r="B2044"/>
    </row>
    <row r="2045" spans="1:2">
      <c r="A2045" t="s">
        <v>2161</v>
      </c>
      <c r="B2045"/>
    </row>
    <row r="2046" spans="1:2">
      <c r="A2046" t="s">
        <v>2162</v>
      </c>
      <c r="B2046" t="s">
        <v>1901</v>
      </c>
    </row>
    <row r="2047" spans="1:2">
      <c r="A2047" t="s">
        <v>3055</v>
      </c>
      <c r="B2047" t="s">
        <v>227</v>
      </c>
    </row>
    <row r="2048" spans="1:2">
      <c r="A2048" t="s">
        <v>1641</v>
      </c>
      <c r="B2048" t="s">
        <v>576</v>
      </c>
    </row>
    <row r="2049" spans="1:2">
      <c r="A2049" t="s">
        <v>1642</v>
      </c>
      <c r="B2049" t="s">
        <v>577</v>
      </c>
    </row>
    <row r="2050" spans="1:2">
      <c r="A2050" t="s">
        <v>1643</v>
      </c>
      <c r="B2050" t="s">
        <v>2578</v>
      </c>
    </row>
    <row r="2051" spans="1:2">
      <c r="A2051" t="s">
        <v>1644</v>
      </c>
      <c r="B2051" t="s">
        <v>3378</v>
      </c>
    </row>
    <row r="2052" spans="1:2">
      <c r="A2052" t="s">
        <v>1645</v>
      </c>
      <c r="B2052" t="s">
        <v>3355</v>
      </c>
    </row>
    <row r="2053" spans="1:2">
      <c r="A2053" t="s">
        <v>1646</v>
      </c>
      <c r="B2053" t="s">
        <v>578</v>
      </c>
    </row>
    <row r="2054" spans="1:2">
      <c r="A2054" t="s">
        <v>1647</v>
      </c>
      <c r="B2054" t="s">
        <v>2538</v>
      </c>
    </row>
    <row r="2055" spans="1:2">
      <c r="A2055" t="s">
        <v>2577</v>
      </c>
      <c r="B2055" t="s">
        <v>2629</v>
      </c>
    </row>
    <row r="2056" spans="1:2">
      <c r="A2056" t="s">
        <v>2163</v>
      </c>
      <c r="B2056"/>
    </row>
    <row r="2057" spans="1:2">
      <c r="A2057" t="s">
        <v>2164</v>
      </c>
      <c r="B2057"/>
    </row>
    <row r="2058" spans="1:2">
      <c r="A2058" t="s">
        <v>2165</v>
      </c>
      <c r="B2058"/>
    </row>
    <row r="2059" spans="1:2">
      <c r="A2059" t="s">
        <v>3056</v>
      </c>
      <c r="B2059" t="s">
        <v>227</v>
      </c>
    </row>
    <row r="2060" spans="1:2">
      <c r="A2060" t="s">
        <v>1648</v>
      </c>
      <c r="B2060" t="s">
        <v>100</v>
      </c>
    </row>
    <row r="2061" spans="1:2">
      <c r="A2061" t="s">
        <v>1649</v>
      </c>
      <c r="B2061" t="s">
        <v>384</v>
      </c>
    </row>
    <row r="2062" spans="1:2">
      <c r="A2062" t="s">
        <v>1650</v>
      </c>
      <c r="B2062" t="s">
        <v>2494</v>
      </c>
    </row>
    <row r="2063" spans="1:2">
      <c r="A2063" t="s">
        <v>1651</v>
      </c>
      <c r="B2063" t="s">
        <v>487</v>
      </c>
    </row>
    <row r="2064" spans="1:2">
      <c r="A2064" t="s">
        <v>1652</v>
      </c>
      <c r="B2064" t="s">
        <v>385</v>
      </c>
    </row>
    <row r="2065" spans="1:2">
      <c r="A2065" t="s">
        <v>1653</v>
      </c>
      <c r="B2065" t="s">
        <v>386</v>
      </c>
    </row>
    <row r="2066" spans="1:2">
      <c r="A2066" t="s">
        <v>1654</v>
      </c>
      <c r="B2066" t="s">
        <v>158</v>
      </c>
    </row>
    <row r="2067" spans="1:2">
      <c r="A2067" t="s">
        <v>2579</v>
      </c>
      <c r="B2067" t="s">
        <v>2627</v>
      </c>
    </row>
    <row r="2068" spans="1:2">
      <c r="A2068" t="s">
        <v>2166</v>
      </c>
      <c r="B2068"/>
    </row>
    <row r="2069" spans="1:2">
      <c r="A2069" t="s">
        <v>2167</v>
      </c>
      <c r="B2069"/>
    </row>
    <row r="2070" spans="1:2">
      <c r="A2070" t="s">
        <v>2168</v>
      </c>
      <c r="B2070" t="s">
        <v>1901</v>
      </c>
    </row>
    <row r="2071" spans="1:2">
      <c r="A2071" t="s">
        <v>3057</v>
      </c>
      <c r="B2071" t="s">
        <v>227</v>
      </c>
    </row>
    <row r="2072" spans="1:2">
      <c r="A2072" t="s">
        <v>1655</v>
      </c>
      <c r="B2072" t="s">
        <v>579</v>
      </c>
    </row>
    <row r="2073" spans="1:2">
      <c r="A2073" t="s">
        <v>1656</v>
      </c>
      <c r="B2073" t="s">
        <v>580</v>
      </c>
    </row>
    <row r="2074" spans="1:2">
      <c r="A2074" t="s">
        <v>1657</v>
      </c>
      <c r="B2074" t="s">
        <v>581</v>
      </c>
    </row>
    <row r="2075" spans="1:2">
      <c r="A2075" t="s">
        <v>1658</v>
      </c>
      <c r="B2075" t="s">
        <v>582</v>
      </c>
    </row>
    <row r="2076" spans="1:2">
      <c r="A2076" t="s">
        <v>1659</v>
      </c>
      <c r="B2076" t="s">
        <v>3356</v>
      </c>
    </row>
    <row r="2077" spans="1:2">
      <c r="A2077" t="s">
        <v>1660</v>
      </c>
      <c r="B2077" t="s">
        <v>583</v>
      </c>
    </row>
    <row r="2078" spans="1:2">
      <c r="A2078" t="s">
        <v>1661</v>
      </c>
      <c r="B2078" t="s">
        <v>1968</v>
      </c>
    </row>
    <row r="2079" spans="1:2">
      <c r="A2079" t="s">
        <v>2580</v>
      </c>
      <c r="B2079" t="s">
        <v>2629</v>
      </c>
    </row>
    <row r="2080" spans="1:2">
      <c r="A2080" t="s">
        <v>2169</v>
      </c>
      <c r="B2080"/>
    </row>
    <row r="2081" spans="1:2">
      <c r="A2081" t="s">
        <v>2170</v>
      </c>
      <c r="B2081"/>
    </row>
    <row r="2082" spans="1:2">
      <c r="A2082" t="s">
        <v>2171</v>
      </c>
      <c r="B2082"/>
    </row>
    <row r="2083" spans="1:2">
      <c r="A2083" t="s">
        <v>3058</v>
      </c>
      <c r="B2083" t="s">
        <v>227</v>
      </c>
    </row>
    <row r="2084" spans="1:2">
      <c r="A2084" t="s">
        <v>1662</v>
      </c>
      <c r="B2084" t="s">
        <v>140</v>
      </c>
    </row>
    <row r="2085" spans="1:2">
      <c r="A2085" t="s">
        <v>1663</v>
      </c>
      <c r="B2085" t="s">
        <v>584</v>
      </c>
    </row>
    <row r="2086" spans="1:2">
      <c r="A2086" t="s">
        <v>1664</v>
      </c>
      <c r="B2086" t="s">
        <v>585</v>
      </c>
    </row>
    <row r="2087" spans="1:2">
      <c r="A2087" t="s">
        <v>1665</v>
      </c>
      <c r="B2087" t="s">
        <v>3382</v>
      </c>
    </row>
    <row r="2088" spans="1:2">
      <c r="A2088" t="s">
        <v>1666</v>
      </c>
      <c r="B2088" t="s">
        <v>3357</v>
      </c>
    </row>
    <row r="2089" spans="1:2">
      <c r="A2089" t="s">
        <v>1667</v>
      </c>
      <c r="B2089" t="s">
        <v>586</v>
      </c>
    </row>
    <row r="2090" spans="1:2">
      <c r="A2090" t="s">
        <v>1668</v>
      </c>
      <c r="B2090" t="s">
        <v>1963</v>
      </c>
    </row>
    <row r="2091" spans="1:2">
      <c r="A2091" t="s">
        <v>2581</v>
      </c>
      <c r="B2091" t="s">
        <v>2629</v>
      </c>
    </row>
    <row r="2092" spans="1:2">
      <c r="A2092" t="s">
        <v>2172</v>
      </c>
      <c r="B2092"/>
    </row>
    <row r="2093" spans="1:2">
      <c r="A2093" t="s">
        <v>2173</v>
      </c>
      <c r="B2093"/>
    </row>
    <row r="2094" spans="1:2">
      <c r="A2094" t="s">
        <v>2174</v>
      </c>
      <c r="B2094"/>
    </row>
    <row r="2095" spans="1:2">
      <c r="A2095" t="s">
        <v>3059</v>
      </c>
      <c r="B2095" t="s">
        <v>285</v>
      </c>
    </row>
    <row r="2096" spans="1:2">
      <c r="A2096" t="s">
        <v>1669</v>
      </c>
      <c r="B2096" t="s">
        <v>156</v>
      </c>
    </row>
    <row r="2097" spans="1:2">
      <c r="A2097" t="s">
        <v>1670</v>
      </c>
      <c r="B2097" t="s">
        <v>587</v>
      </c>
    </row>
    <row r="2098" spans="1:2">
      <c r="A2098" t="s">
        <v>1671</v>
      </c>
      <c r="B2098" t="s">
        <v>588</v>
      </c>
    </row>
    <row r="2099" spans="1:2">
      <c r="A2099" t="s">
        <v>1672</v>
      </c>
      <c r="B2099" t="s">
        <v>3387</v>
      </c>
    </row>
    <row r="2100" spans="1:2">
      <c r="A2100" t="s">
        <v>1673</v>
      </c>
      <c r="B2100" t="s">
        <v>3358</v>
      </c>
    </row>
    <row r="2101" spans="1:2">
      <c r="A2101" t="s">
        <v>1674</v>
      </c>
      <c r="B2101" t="s">
        <v>589</v>
      </c>
    </row>
    <row r="2102" spans="1:2">
      <c r="A2102" t="s">
        <v>1675</v>
      </c>
      <c r="B2102" t="s">
        <v>1963</v>
      </c>
    </row>
    <row r="2103" spans="1:2">
      <c r="A2103" t="s">
        <v>2582</v>
      </c>
      <c r="B2103" t="s">
        <v>2629</v>
      </c>
    </row>
    <row r="2104" spans="1:2">
      <c r="A2104" t="s">
        <v>2175</v>
      </c>
      <c r="B2104"/>
    </row>
    <row r="2105" spans="1:2">
      <c r="A2105" t="s">
        <v>2176</v>
      </c>
      <c r="B2105"/>
    </row>
    <row r="2106" spans="1:2">
      <c r="A2106" t="s">
        <v>2177</v>
      </c>
      <c r="B2106"/>
    </row>
    <row r="2107" spans="1:2">
      <c r="A2107" t="s">
        <v>3060</v>
      </c>
      <c r="B2107" t="s">
        <v>285</v>
      </c>
    </row>
    <row r="2108" spans="1:2">
      <c r="A2108" t="s">
        <v>1676</v>
      </c>
      <c r="B2108" t="s">
        <v>75</v>
      </c>
    </row>
    <row r="2109" spans="1:2">
      <c r="A2109" t="s">
        <v>1677</v>
      </c>
      <c r="B2109" t="s">
        <v>281</v>
      </c>
    </row>
    <row r="2110" spans="1:2">
      <c r="A2110" t="s">
        <v>1678</v>
      </c>
      <c r="B2110" t="s">
        <v>282</v>
      </c>
    </row>
    <row r="2111" spans="1:2">
      <c r="A2111" t="s">
        <v>1679</v>
      </c>
      <c r="B2111" t="s">
        <v>461</v>
      </c>
    </row>
    <row r="2112" spans="1:2">
      <c r="A2112" t="s">
        <v>1680</v>
      </c>
      <c r="B2112" t="s">
        <v>283</v>
      </c>
    </row>
    <row r="2113" spans="1:2">
      <c r="A2113" t="s">
        <v>1681</v>
      </c>
      <c r="B2113" t="s">
        <v>284</v>
      </c>
    </row>
    <row r="2114" spans="1:2">
      <c r="A2114" t="s">
        <v>1682</v>
      </c>
      <c r="B2114" t="s">
        <v>111</v>
      </c>
    </row>
    <row r="2115" spans="1:2">
      <c r="A2115" t="s">
        <v>2583</v>
      </c>
      <c r="B2115" t="s">
        <v>2626</v>
      </c>
    </row>
    <row r="2116" spans="1:2">
      <c r="A2116" t="s">
        <v>2178</v>
      </c>
      <c r="B2116"/>
    </row>
    <row r="2117" spans="1:2">
      <c r="A2117" t="s">
        <v>2179</v>
      </c>
      <c r="B2117" t="s">
        <v>1900</v>
      </c>
    </row>
    <row r="2118" spans="1:2">
      <c r="A2118" t="s">
        <v>2180</v>
      </c>
      <c r="B2118"/>
    </row>
    <row r="2119" spans="1:2">
      <c r="A2119" t="s">
        <v>3061</v>
      </c>
      <c r="B2119" t="s">
        <v>285</v>
      </c>
    </row>
    <row r="2120" spans="1:2">
      <c r="A2120" t="s">
        <v>1683</v>
      </c>
      <c r="B2120" t="s">
        <v>590</v>
      </c>
    </row>
    <row r="2121" spans="1:2">
      <c r="A2121" t="s">
        <v>1684</v>
      </c>
      <c r="B2121" t="s">
        <v>591</v>
      </c>
    </row>
    <row r="2122" spans="1:2">
      <c r="A2122" t="s">
        <v>1685</v>
      </c>
      <c r="B2122" t="s">
        <v>1959</v>
      </c>
    </row>
    <row r="2123" spans="1:2">
      <c r="A2123" t="s">
        <v>1686</v>
      </c>
      <c r="B2123" t="s">
        <v>3386</v>
      </c>
    </row>
    <row r="2124" spans="1:2">
      <c r="A2124" t="s">
        <v>1687</v>
      </c>
      <c r="B2124" t="s">
        <v>3359</v>
      </c>
    </row>
    <row r="2125" spans="1:2">
      <c r="A2125" t="s">
        <v>1688</v>
      </c>
      <c r="B2125" t="s">
        <v>592</v>
      </c>
    </row>
    <row r="2126" spans="1:2">
      <c r="A2126" t="s">
        <v>1689</v>
      </c>
      <c r="B2126" t="s">
        <v>1963</v>
      </c>
    </row>
    <row r="2127" spans="1:2">
      <c r="A2127" t="s">
        <v>2584</v>
      </c>
      <c r="B2127" t="s">
        <v>2629</v>
      </c>
    </row>
    <row r="2128" spans="1:2">
      <c r="A2128" t="s">
        <v>2181</v>
      </c>
      <c r="B2128"/>
    </row>
    <row r="2129" spans="1:2">
      <c r="A2129" t="s">
        <v>2182</v>
      </c>
      <c r="B2129"/>
    </row>
    <row r="2130" spans="1:2">
      <c r="A2130" t="s">
        <v>2183</v>
      </c>
      <c r="B2130"/>
    </row>
    <row r="2131" spans="1:2">
      <c r="A2131" t="s">
        <v>3062</v>
      </c>
      <c r="B2131" t="s">
        <v>285</v>
      </c>
    </row>
    <row r="2132" spans="1:2">
      <c r="A2132" t="s">
        <v>1690</v>
      </c>
      <c r="B2132" t="s">
        <v>76</v>
      </c>
    </row>
    <row r="2133" spans="1:2">
      <c r="A2133" t="s">
        <v>1691</v>
      </c>
      <c r="B2133" t="s">
        <v>286</v>
      </c>
    </row>
    <row r="2134" spans="1:2">
      <c r="A2134" t="s">
        <v>1692</v>
      </c>
      <c r="B2134" t="s">
        <v>287</v>
      </c>
    </row>
    <row r="2135" spans="1:2">
      <c r="A2135" t="s">
        <v>1693</v>
      </c>
      <c r="B2135" t="s">
        <v>462</v>
      </c>
    </row>
    <row r="2136" spans="1:2">
      <c r="A2136" t="s">
        <v>1694</v>
      </c>
      <c r="B2136" t="s">
        <v>288</v>
      </c>
    </row>
    <row r="2137" spans="1:2">
      <c r="A2137" t="s">
        <v>1695</v>
      </c>
      <c r="B2137" t="s">
        <v>289</v>
      </c>
    </row>
    <row r="2138" spans="1:2">
      <c r="A2138" t="s">
        <v>1696</v>
      </c>
      <c r="B2138" t="s">
        <v>1962</v>
      </c>
    </row>
    <row r="2139" spans="1:2">
      <c r="A2139" t="s">
        <v>2585</v>
      </c>
      <c r="B2139" t="s">
        <v>2630</v>
      </c>
    </row>
    <row r="2140" spans="1:2">
      <c r="A2140" t="s">
        <v>2184</v>
      </c>
      <c r="B2140"/>
    </row>
    <row r="2141" spans="1:2">
      <c r="A2141" t="s">
        <v>2185</v>
      </c>
      <c r="B2141" t="s">
        <v>1900</v>
      </c>
    </row>
    <row r="2142" spans="1:2">
      <c r="A2142" t="s">
        <v>2186</v>
      </c>
      <c r="B2142" t="s">
        <v>1901</v>
      </c>
    </row>
    <row r="2143" spans="1:2">
      <c r="A2143" t="s">
        <v>3063</v>
      </c>
      <c r="B2143" t="s">
        <v>285</v>
      </c>
    </row>
    <row r="2144" spans="1:2">
      <c r="A2144" t="s">
        <v>1697</v>
      </c>
      <c r="B2144" t="s">
        <v>77</v>
      </c>
    </row>
    <row r="2145" spans="1:2">
      <c r="A2145" t="s">
        <v>1698</v>
      </c>
      <c r="B2145" t="s">
        <v>290</v>
      </c>
    </row>
    <row r="2146" spans="1:2">
      <c r="A2146" t="s">
        <v>1699</v>
      </c>
      <c r="B2146" t="s">
        <v>291</v>
      </c>
    </row>
    <row r="2147" spans="1:2">
      <c r="A2147" t="s">
        <v>1700</v>
      </c>
      <c r="B2147" t="s">
        <v>463</v>
      </c>
    </row>
    <row r="2148" spans="1:2">
      <c r="A2148" t="s">
        <v>1701</v>
      </c>
      <c r="B2148" t="s">
        <v>292</v>
      </c>
    </row>
    <row r="2149" spans="1:2">
      <c r="A2149" t="s">
        <v>1702</v>
      </c>
      <c r="B2149" t="s">
        <v>293</v>
      </c>
    </row>
    <row r="2150" spans="1:2">
      <c r="A2150" t="s">
        <v>1703</v>
      </c>
      <c r="B2150" t="s">
        <v>1962</v>
      </c>
    </row>
    <row r="2151" spans="1:2">
      <c r="A2151" t="s">
        <v>2586</v>
      </c>
      <c r="B2151" t="s">
        <v>2626</v>
      </c>
    </row>
    <row r="2152" spans="1:2">
      <c r="A2152" t="s">
        <v>2187</v>
      </c>
      <c r="B2152"/>
    </row>
    <row r="2153" spans="1:2">
      <c r="A2153" t="s">
        <v>2188</v>
      </c>
      <c r="B2153" t="s">
        <v>1900</v>
      </c>
    </row>
    <row r="2154" spans="1:2">
      <c r="A2154" t="s">
        <v>2189</v>
      </c>
      <c r="B2154"/>
    </row>
    <row r="2155" spans="1:2">
      <c r="A2155" t="s">
        <v>3064</v>
      </c>
      <c r="B2155" t="s">
        <v>285</v>
      </c>
    </row>
    <row r="2156" spans="1:2">
      <c r="A2156" t="s">
        <v>1704</v>
      </c>
      <c r="B2156" t="s">
        <v>593</v>
      </c>
    </row>
    <row r="2157" spans="1:2">
      <c r="A2157" t="s">
        <v>1705</v>
      </c>
      <c r="B2157" t="s">
        <v>594</v>
      </c>
    </row>
    <row r="2158" spans="1:2">
      <c r="A2158" t="s">
        <v>1706</v>
      </c>
      <c r="B2158" t="s">
        <v>595</v>
      </c>
    </row>
    <row r="2159" spans="1:2">
      <c r="A2159" t="s">
        <v>1707</v>
      </c>
      <c r="B2159" t="s">
        <v>3377</v>
      </c>
    </row>
    <row r="2160" spans="1:2">
      <c r="A2160" t="s">
        <v>1708</v>
      </c>
      <c r="B2160" t="s">
        <v>3360</v>
      </c>
    </row>
    <row r="2161" spans="1:2">
      <c r="A2161" t="s">
        <v>1709</v>
      </c>
      <c r="B2161" t="s">
        <v>596</v>
      </c>
    </row>
    <row r="2162" spans="1:2">
      <c r="A2162" t="s">
        <v>1710</v>
      </c>
      <c r="B2162" t="s">
        <v>1968</v>
      </c>
    </row>
    <row r="2163" spans="1:2">
      <c r="A2163" t="s">
        <v>2587</v>
      </c>
      <c r="B2163" t="s">
        <v>2629</v>
      </c>
    </row>
    <row r="2164" spans="1:2">
      <c r="A2164" t="s">
        <v>2190</v>
      </c>
      <c r="B2164"/>
    </row>
    <row r="2165" spans="1:2">
      <c r="A2165" t="s">
        <v>2191</v>
      </c>
      <c r="B2165"/>
    </row>
    <row r="2166" spans="1:2">
      <c r="A2166" t="s">
        <v>2192</v>
      </c>
      <c r="B2166"/>
    </row>
    <row r="2167" spans="1:2">
      <c r="A2167" t="s">
        <v>3065</v>
      </c>
      <c r="B2167" t="s">
        <v>285</v>
      </c>
    </row>
    <row r="2168" spans="1:2">
      <c r="A2168" t="s">
        <v>1711</v>
      </c>
      <c r="B2168" t="s">
        <v>155</v>
      </c>
    </row>
    <row r="2169" spans="1:2">
      <c r="A2169" t="s">
        <v>1712</v>
      </c>
      <c r="B2169" t="s">
        <v>597</v>
      </c>
    </row>
    <row r="2170" spans="1:2">
      <c r="A2170" t="s">
        <v>1713</v>
      </c>
      <c r="B2170" t="s">
        <v>598</v>
      </c>
    </row>
    <row r="2171" spans="1:2">
      <c r="A2171" t="s">
        <v>1714</v>
      </c>
      <c r="B2171" t="s">
        <v>497</v>
      </c>
    </row>
    <row r="2172" spans="1:2">
      <c r="A2172" t="s">
        <v>1715</v>
      </c>
      <c r="B2172" t="s">
        <v>3361</v>
      </c>
    </row>
    <row r="2173" spans="1:2">
      <c r="A2173" t="s">
        <v>1716</v>
      </c>
      <c r="B2173" t="s">
        <v>599</v>
      </c>
    </row>
    <row r="2174" spans="1:2">
      <c r="A2174" t="s">
        <v>1717</v>
      </c>
      <c r="B2174" t="s">
        <v>1968</v>
      </c>
    </row>
    <row r="2175" spans="1:2">
      <c r="A2175" t="s">
        <v>2588</v>
      </c>
      <c r="B2175" t="s">
        <v>2629</v>
      </c>
    </row>
    <row r="2176" spans="1:2">
      <c r="A2176" t="s">
        <v>2193</v>
      </c>
      <c r="B2176"/>
    </row>
    <row r="2177" spans="1:2">
      <c r="A2177" t="s">
        <v>2194</v>
      </c>
      <c r="B2177"/>
    </row>
    <row r="2178" spans="1:2">
      <c r="A2178" t="s">
        <v>2195</v>
      </c>
      <c r="B2178"/>
    </row>
    <row r="2179" spans="1:2">
      <c r="A2179" t="s">
        <v>3066</v>
      </c>
      <c r="B2179" t="s">
        <v>387</v>
      </c>
    </row>
    <row r="2180" spans="1:2">
      <c r="A2180" t="s">
        <v>1718</v>
      </c>
      <c r="B2180" t="s">
        <v>64</v>
      </c>
    </row>
    <row r="2181" spans="1:2">
      <c r="A2181" t="s">
        <v>1719</v>
      </c>
      <c r="B2181" t="s">
        <v>231</v>
      </c>
    </row>
    <row r="2182" spans="1:2">
      <c r="A2182" t="s">
        <v>1720</v>
      </c>
      <c r="B2182" t="s">
        <v>232</v>
      </c>
    </row>
    <row r="2183" spans="1:2">
      <c r="A2183" t="s">
        <v>1721</v>
      </c>
      <c r="B2183" t="s">
        <v>432</v>
      </c>
    </row>
    <row r="2184" spans="1:2">
      <c r="A2184" t="s">
        <v>1722</v>
      </c>
      <c r="B2184" t="s">
        <v>233</v>
      </c>
    </row>
    <row r="2185" spans="1:2">
      <c r="A2185" t="s">
        <v>1723</v>
      </c>
      <c r="B2185" t="s">
        <v>234</v>
      </c>
    </row>
    <row r="2186" spans="1:2">
      <c r="A2186" t="s">
        <v>1724</v>
      </c>
      <c r="B2186" t="s">
        <v>111</v>
      </c>
    </row>
    <row r="2187" spans="1:2">
      <c r="A2187" t="s">
        <v>2589</v>
      </c>
      <c r="B2187" t="s">
        <v>2631</v>
      </c>
    </row>
    <row r="2188" spans="1:2">
      <c r="A2188" t="s">
        <v>2196</v>
      </c>
      <c r="B2188" t="s">
        <v>1902</v>
      </c>
    </row>
    <row r="2189" spans="1:2">
      <c r="A2189" t="s">
        <v>2197</v>
      </c>
      <c r="B2189" t="s">
        <v>1900</v>
      </c>
    </row>
    <row r="2190" spans="1:2">
      <c r="A2190" t="s">
        <v>2198</v>
      </c>
      <c r="B2190" t="s">
        <v>1901</v>
      </c>
    </row>
    <row r="2191" spans="1:2">
      <c r="A2191" t="s">
        <v>3067</v>
      </c>
      <c r="B2191" t="s">
        <v>235</v>
      </c>
    </row>
    <row r="2192" spans="1:2">
      <c r="A2192" t="s">
        <v>1725</v>
      </c>
      <c r="B2192" t="s">
        <v>65</v>
      </c>
    </row>
    <row r="2193" spans="1:2">
      <c r="A2193" t="s">
        <v>1726</v>
      </c>
      <c r="B2193" t="s">
        <v>236</v>
      </c>
    </row>
    <row r="2194" spans="1:2">
      <c r="A2194" t="s">
        <v>1727</v>
      </c>
      <c r="B2194" t="s">
        <v>237</v>
      </c>
    </row>
    <row r="2195" spans="1:2">
      <c r="A2195" t="s">
        <v>1728</v>
      </c>
      <c r="B2195" t="s">
        <v>433</v>
      </c>
    </row>
    <row r="2196" spans="1:2">
      <c r="A2196" t="s">
        <v>1729</v>
      </c>
      <c r="B2196" t="s">
        <v>238</v>
      </c>
    </row>
    <row r="2197" spans="1:2">
      <c r="A2197" t="s">
        <v>1730</v>
      </c>
      <c r="B2197" t="s">
        <v>239</v>
      </c>
    </row>
    <row r="2198" spans="1:2">
      <c r="A2198" t="s">
        <v>1731</v>
      </c>
      <c r="B2198" t="s">
        <v>1962</v>
      </c>
    </row>
    <row r="2199" spans="1:2">
      <c r="A2199" t="s">
        <v>2590</v>
      </c>
      <c r="B2199" t="s">
        <v>2631</v>
      </c>
    </row>
    <row r="2200" spans="1:2">
      <c r="A2200" t="s">
        <v>2199</v>
      </c>
      <c r="B2200" t="s">
        <v>1902</v>
      </c>
    </row>
    <row r="2201" spans="1:2">
      <c r="A2201" t="s">
        <v>2200</v>
      </c>
      <c r="B2201" t="s">
        <v>1900</v>
      </c>
    </row>
    <row r="2202" spans="1:2">
      <c r="A2202" t="s">
        <v>2201</v>
      </c>
      <c r="B2202" t="s">
        <v>1901</v>
      </c>
    </row>
    <row r="2203" spans="1:2">
      <c r="A2203" t="s">
        <v>3068</v>
      </c>
      <c r="B2203" t="s">
        <v>235</v>
      </c>
    </row>
    <row r="2204" spans="1:2">
      <c r="A2204" t="s">
        <v>1732</v>
      </c>
      <c r="B2204" t="s">
        <v>600</v>
      </c>
    </row>
    <row r="2205" spans="1:2">
      <c r="A2205" t="s">
        <v>1733</v>
      </c>
      <c r="B2205" t="s">
        <v>601</v>
      </c>
    </row>
    <row r="2206" spans="1:2">
      <c r="A2206" t="s">
        <v>1734</v>
      </c>
      <c r="B2206" t="s">
        <v>602</v>
      </c>
    </row>
    <row r="2207" spans="1:2">
      <c r="A2207" t="s">
        <v>1735</v>
      </c>
      <c r="B2207" t="s">
        <v>3403</v>
      </c>
    </row>
    <row r="2208" spans="1:2">
      <c r="A2208" t="s">
        <v>1736</v>
      </c>
      <c r="B2208" t="s">
        <v>3362</v>
      </c>
    </row>
    <row r="2209" spans="1:2">
      <c r="A2209" t="s">
        <v>1737</v>
      </c>
      <c r="B2209" t="s">
        <v>603</v>
      </c>
    </row>
    <row r="2210" spans="1:2">
      <c r="A2210" t="s">
        <v>1738</v>
      </c>
      <c r="B2210" t="s">
        <v>1963</v>
      </c>
    </row>
    <row r="2211" spans="1:2">
      <c r="A2211" t="s">
        <v>2591</v>
      </c>
      <c r="B2211" t="s">
        <v>2629</v>
      </c>
    </row>
    <row r="2212" spans="1:2">
      <c r="A2212" t="s">
        <v>2202</v>
      </c>
      <c r="B2212"/>
    </row>
    <row r="2213" spans="1:2">
      <c r="A2213" t="s">
        <v>2203</v>
      </c>
      <c r="B2213"/>
    </row>
    <row r="2214" spans="1:2">
      <c r="A2214" t="s">
        <v>2204</v>
      </c>
      <c r="B2214"/>
    </row>
    <row r="2215" spans="1:2">
      <c r="A2215" t="s">
        <v>3069</v>
      </c>
      <c r="B2215" t="s">
        <v>235</v>
      </c>
    </row>
    <row r="2216" spans="1:2">
      <c r="A2216" t="s">
        <v>1739</v>
      </c>
      <c r="B2216" t="s">
        <v>101</v>
      </c>
    </row>
    <row r="2217" spans="1:2">
      <c r="A2217" t="s">
        <v>1740</v>
      </c>
      <c r="B2217" t="s">
        <v>388</v>
      </c>
    </row>
    <row r="2218" spans="1:2">
      <c r="A2218" t="s">
        <v>1741</v>
      </c>
      <c r="B2218" t="s">
        <v>389</v>
      </c>
    </row>
    <row r="2219" spans="1:2">
      <c r="A2219" t="s">
        <v>1742</v>
      </c>
      <c r="B2219" t="s">
        <v>488</v>
      </c>
    </row>
    <row r="2220" spans="1:2">
      <c r="A2220" t="s">
        <v>1743</v>
      </c>
      <c r="B2220" t="s">
        <v>390</v>
      </c>
    </row>
    <row r="2221" spans="1:2">
      <c r="A2221" t="s">
        <v>1744</v>
      </c>
      <c r="B2221" t="s">
        <v>391</v>
      </c>
    </row>
    <row r="2222" spans="1:2">
      <c r="A2222" t="s">
        <v>1745</v>
      </c>
      <c r="B2222" t="s">
        <v>1962</v>
      </c>
    </row>
    <row r="2223" spans="1:2">
      <c r="A2223" t="s">
        <v>2592</v>
      </c>
      <c r="B2223" t="s">
        <v>2627</v>
      </c>
    </row>
    <row r="2224" spans="1:2">
      <c r="A2224" t="s">
        <v>2205</v>
      </c>
      <c r="B2224"/>
    </row>
    <row r="2225" spans="1:2">
      <c r="A2225" t="s">
        <v>2206</v>
      </c>
      <c r="B2225"/>
    </row>
    <row r="2226" spans="1:2">
      <c r="A2226" t="s">
        <v>2207</v>
      </c>
      <c r="B2226" t="s">
        <v>1901</v>
      </c>
    </row>
    <row r="2227" spans="1:2">
      <c r="A2227" t="s">
        <v>3070</v>
      </c>
      <c r="B2227" t="s">
        <v>235</v>
      </c>
    </row>
    <row r="2228" spans="1:2">
      <c r="A2228" t="s">
        <v>1746</v>
      </c>
      <c r="B2228" t="s">
        <v>78</v>
      </c>
    </row>
    <row r="2229" spans="1:2">
      <c r="A2229" t="s">
        <v>1747</v>
      </c>
      <c r="B2229" t="s">
        <v>294</v>
      </c>
    </row>
    <row r="2230" spans="1:2">
      <c r="A2230" t="s">
        <v>1748</v>
      </c>
      <c r="B2230" t="s">
        <v>2492</v>
      </c>
    </row>
    <row r="2231" spans="1:2">
      <c r="A2231" t="s">
        <v>1749</v>
      </c>
      <c r="B2231" t="s">
        <v>464</v>
      </c>
    </row>
    <row r="2232" spans="1:2">
      <c r="A2232" t="s">
        <v>1750</v>
      </c>
      <c r="B2232" t="s">
        <v>295</v>
      </c>
    </row>
    <row r="2233" spans="1:2">
      <c r="A2233" t="s">
        <v>1751</v>
      </c>
      <c r="B2233" t="s">
        <v>296</v>
      </c>
    </row>
    <row r="2234" spans="1:2">
      <c r="A2234" t="s">
        <v>1752</v>
      </c>
      <c r="B2234" t="s">
        <v>2557</v>
      </c>
    </row>
    <row r="2235" spans="1:2">
      <c r="A2235" t="s">
        <v>2593</v>
      </c>
      <c r="B2235" t="s">
        <v>2630</v>
      </c>
    </row>
    <row r="2236" spans="1:2">
      <c r="A2236" t="s">
        <v>2208</v>
      </c>
      <c r="B2236"/>
    </row>
    <row r="2237" spans="1:2">
      <c r="A2237" t="s">
        <v>2209</v>
      </c>
      <c r="B2237" t="s">
        <v>1900</v>
      </c>
    </row>
    <row r="2238" spans="1:2">
      <c r="A2238" t="s">
        <v>2210</v>
      </c>
      <c r="B2238" t="s">
        <v>1901</v>
      </c>
    </row>
    <row r="2239" spans="1:2">
      <c r="A2239" t="s">
        <v>3071</v>
      </c>
      <c r="B2239" t="s">
        <v>235</v>
      </c>
    </row>
    <row r="2240" spans="1:2">
      <c r="A2240" t="s">
        <v>1753</v>
      </c>
      <c r="B2240" t="s">
        <v>102</v>
      </c>
    </row>
    <row r="2241" spans="1:2">
      <c r="A2241" t="s">
        <v>1754</v>
      </c>
      <c r="B2241" t="s">
        <v>392</v>
      </c>
    </row>
    <row r="2242" spans="1:2">
      <c r="A2242" t="s">
        <v>1755</v>
      </c>
      <c r="B2242" t="s">
        <v>393</v>
      </c>
    </row>
    <row r="2243" spans="1:2">
      <c r="A2243" t="s">
        <v>1756</v>
      </c>
      <c r="B2243" t="s">
        <v>489</v>
      </c>
    </row>
    <row r="2244" spans="1:2">
      <c r="A2244" t="s">
        <v>1757</v>
      </c>
      <c r="B2244" t="s">
        <v>394</v>
      </c>
    </row>
    <row r="2245" spans="1:2">
      <c r="A2245" t="s">
        <v>1758</v>
      </c>
      <c r="B2245" t="s">
        <v>395</v>
      </c>
    </row>
    <row r="2246" spans="1:2">
      <c r="A2246" t="s">
        <v>1759</v>
      </c>
      <c r="B2246" t="s">
        <v>111</v>
      </c>
    </row>
    <row r="2247" spans="1:2">
      <c r="A2247" t="s">
        <v>2594</v>
      </c>
      <c r="B2247" t="s">
        <v>2627</v>
      </c>
    </row>
    <row r="2248" spans="1:2">
      <c r="A2248" t="s">
        <v>2211</v>
      </c>
      <c r="B2248"/>
    </row>
    <row r="2249" spans="1:2">
      <c r="A2249" t="s">
        <v>2212</v>
      </c>
      <c r="B2249"/>
    </row>
    <row r="2250" spans="1:2">
      <c r="A2250" t="s">
        <v>2213</v>
      </c>
      <c r="B2250" t="s">
        <v>1901</v>
      </c>
    </row>
    <row r="2251" spans="1:2">
      <c r="A2251" t="s">
        <v>3072</v>
      </c>
      <c r="B2251" t="s">
        <v>235</v>
      </c>
    </row>
    <row r="2252" spans="1:2">
      <c r="A2252" t="s">
        <v>1760</v>
      </c>
      <c r="B2252" t="s">
        <v>79</v>
      </c>
    </row>
    <row r="2253" spans="1:2">
      <c r="A2253" t="s">
        <v>1761</v>
      </c>
      <c r="B2253" t="s">
        <v>297</v>
      </c>
    </row>
    <row r="2254" spans="1:2">
      <c r="A2254" t="s">
        <v>1762</v>
      </c>
      <c r="B2254" t="s">
        <v>298</v>
      </c>
    </row>
    <row r="2255" spans="1:2">
      <c r="A2255" t="s">
        <v>1763</v>
      </c>
      <c r="B2255" t="s">
        <v>445</v>
      </c>
    </row>
    <row r="2256" spans="1:2">
      <c r="A2256" t="s">
        <v>1764</v>
      </c>
      <c r="B2256" t="s">
        <v>299</v>
      </c>
    </row>
    <row r="2257" spans="1:2">
      <c r="A2257" t="s">
        <v>1765</v>
      </c>
      <c r="B2257" t="s">
        <v>300</v>
      </c>
    </row>
    <row r="2258" spans="1:2">
      <c r="A2258" t="s">
        <v>1766</v>
      </c>
      <c r="B2258" t="s">
        <v>3404</v>
      </c>
    </row>
    <row r="2259" spans="1:2">
      <c r="A2259" t="s">
        <v>2595</v>
      </c>
      <c r="B2259" t="s">
        <v>2626</v>
      </c>
    </row>
    <row r="2260" spans="1:2">
      <c r="A2260" t="s">
        <v>2214</v>
      </c>
      <c r="B2260"/>
    </row>
    <row r="2261" spans="1:2">
      <c r="A2261" t="s">
        <v>2215</v>
      </c>
      <c r="B2261" t="s">
        <v>1900</v>
      </c>
    </row>
    <row r="2262" spans="1:2">
      <c r="A2262" t="s">
        <v>2216</v>
      </c>
      <c r="B2262"/>
    </row>
    <row r="2263" spans="1:2">
      <c r="A2263" t="s">
        <v>3073</v>
      </c>
      <c r="B2263" t="s">
        <v>301</v>
      </c>
    </row>
    <row r="2264" spans="1:2">
      <c r="A2264" t="s">
        <v>1767</v>
      </c>
      <c r="B2264" t="s">
        <v>604</v>
      </c>
    </row>
    <row r="2265" spans="1:2">
      <c r="A2265" t="s">
        <v>1768</v>
      </c>
      <c r="B2265" t="s">
        <v>605</v>
      </c>
    </row>
    <row r="2266" spans="1:2">
      <c r="A2266" t="s">
        <v>1769</v>
      </c>
      <c r="B2266" t="s">
        <v>606</v>
      </c>
    </row>
    <row r="2267" spans="1:2">
      <c r="A2267" t="s">
        <v>1770</v>
      </c>
      <c r="B2267" t="s">
        <v>3405</v>
      </c>
    </row>
    <row r="2268" spans="1:2">
      <c r="A2268" t="s">
        <v>1771</v>
      </c>
      <c r="B2268" t="s">
        <v>3363</v>
      </c>
    </row>
    <row r="2269" spans="1:2">
      <c r="A2269" t="s">
        <v>1772</v>
      </c>
      <c r="B2269" t="s">
        <v>607</v>
      </c>
    </row>
    <row r="2270" spans="1:2">
      <c r="A2270" t="s">
        <v>1773</v>
      </c>
      <c r="B2270" t="s">
        <v>1965</v>
      </c>
    </row>
    <row r="2271" spans="1:2">
      <c r="A2271" t="s">
        <v>2596</v>
      </c>
      <c r="B2271" t="s">
        <v>2629</v>
      </c>
    </row>
    <row r="2272" spans="1:2">
      <c r="A2272" t="s">
        <v>2217</v>
      </c>
      <c r="B2272"/>
    </row>
    <row r="2273" spans="1:2">
      <c r="A2273" t="s">
        <v>2218</v>
      </c>
      <c r="B2273"/>
    </row>
    <row r="2274" spans="1:2">
      <c r="A2274" t="s">
        <v>2219</v>
      </c>
      <c r="B2274"/>
    </row>
    <row r="2275" spans="1:2">
      <c r="A2275" t="s">
        <v>3074</v>
      </c>
      <c r="B2275" t="s">
        <v>301</v>
      </c>
    </row>
    <row r="2276" spans="1:2">
      <c r="A2276" t="s">
        <v>1774</v>
      </c>
      <c r="B2276" t="s">
        <v>2289</v>
      </c>
    </row>
    <row r="2277" spans="1:2">
      <c r="A2277" t="s">
        <v>1775</v>
      </c>
      <c r="B2277" t="s">
        <v>2598</v>
      </c>
    </row>
    <row r="2278" spans="1:2" ht="310.5">
      <c r="A2278" t="s">
        <v>1776</v>
      </c>
      <c r="B2278" s="10" t="s">
        <v>3406</v>
      </c>
    </row>
    <row r="2279" spans="1:2">
      <c r="A2279" t="s">
        <v>1777</v>
      </c>
      <c r="B2279" t="s">
        <v>3407</v>
      </c>
    </row>
    <row r="2280" spans="1:2">
      <c r="A2280" t="s">
        <v>1778</v>
      </c>
      <c r="B2280" t="s">
        <v>3364</v>
      </c>
    </row>
    <row r="2281" spans="1:2">
      <c r="A2281" t="s">
        <v>1779</v>
      </c>
      <c r="B2281" t="s">
        <v>2599</v>
      </c>
    </row>
    <row r="2282" spans="1:2">
      <c r="A2282" t="s">
        <v>1780</v>
      </c>
      <c r="B2282"/>
    </row>
    <row r="2283" spans="1:2">
      <c r="A2283" t="s">
        <v>2597</v>
      </c>
      <c r="B2283"/>
    </row>
    <row r="2284" spans="1:2">
      <c r="A2284" t="s">
        <v>2220</v>
      </c>
      <c r="B2284"/>
    </row>
    <row r="2285" spans="1:2">
      <c r="A2285" t="s">
        <v>2221</v>
      </c>
      <c r="B2285"/>
    </row>
    <row r="2286" spans="1:2">
      <c r="A2286" t="s">
        <v>2222</v>
      </c>
      <c r="B2286"/>
    </row>
    <row r="2287" spans="1:2">
      <c r="A2287" t="s">
        <v>3075</v>
      </c>
      <c r="B2287" t="s">
        <v>301</v>
      </c>
    </row>
    <row r="2288" spans="1:2">
      <c r="A2288" t="s">
        <v>1781</v>
      </c>
      <c r="B2288" t="s">
        <v>80</v>
      </c>
    </row>
    <row r="2289" spans="1:2">
      <c r="A2289" t="s">
        <v>1782</v>
      </c>
      <c r="B2289" t="s">
        <v>302</v>
      </c>
    </row>
    <row r="2290" spans="1:2">
      <c r="A2290" t="s">
        <v>1783</v>
      </c>
      <c r="B2290" t="s">
        <v>303</v>
      </c>
    </row>
    <row r="2291" spans="1:2">
      <c r="A2291" t="s">
        <v>1784</v>
      </c>
      <c r="B2291" t="s">
        <v>465</v>
      </c>
    </row>
    <row r="2292" spans="1:2">
      <c r="A2292" t="s">
        <v>1785</v>
      </c>
      <c r="B2292" t="s">
        <v>304</v>
      </c>
    </row>
    <row r="2293" spans="1:2">
      <c r="A2293" t="s">
        <v>1786</v>
      </c>
      <c r="B2293" t="s">
        <v>305</v>
      </c>
    </row>
    <row r="2294" spans="1:2">
      <c r="A2294" t="s">
        <v>1787</v>
      </c>
      <c r="B2294" t="s">
        <v>1970</v>
      </c>
    </row>
    <row r="2295" spans="1:2">
      <c r="A2295" t="s">
        <v>2600</v>
      </c>
      <c r="B2295" t="s">
        <v>2626</v>
      </c>
    </row>
    <row r="2296" spans="1:2">
      <c r="A2296" t="s">
        <v>2223</v>
      </c>
      <c r="B2296"/>
    </row>
    <row r="2297" spans="1:2">
      <c r="A2297" t="s">
        <v>2224</v>
      </c>
      <c r="B2297" t="s">
        <v>1900</v>
      </c>
    </row>
    <row r="2298" spans="1:2">
      <c r="A2298" t="s">
        <v>2225</v>
      </c>
      <c r="B2298"/>
    </row>
    <row r="2299" spans="1:2">
      <c r="A2299" t="s">
        <v>3076</v>
      </c>
      <c r="B2299" t="s">
        <v>306</v>
      </c>
    </row>
    <row r="2300" spans="1:2">
      <c r="A2300" t="s">
        <v>1788</v>
      </c>
      <c r="B2300" t="s">
        <v>137</v>
      </c>
    </row>
    <row r="2301" spans="1:2">
      <c r="A2301" t="s">
        <v>1789</v>
      </c>
      <c r="B2301" t="s">
        <v>608</v>
      </c>
    </row>
    <row r="2302" spans="1:2">
      <c r="A2302" t="s">
        <v>1790</v>
      </c>
      <c r="B2302" t="s">
        <v>609</v>
      </c>
    </row>
    <row r="2303" spans="1:2">
      <c r="A2303" t="s">
        <v>1791</v>
      </c>
      <c r="B2303" t="s">
        <v>3380</v>
      </c>
    </row>
    <row r="2304" spans="1:2">
      <c r="A2304" t="s">
        <v>1792</v>
      </c>
      <c r="B2304" t="s">
        <v>3365</v>
      </c>
    </row>
    <row r="2305" spans="1:2">
      <c r="A2305" t="s">
        <v>1793</v>
      </c>
      <c r="B2305" t="s">
        <v>610</v>
      </c>
    </row>
    <row r="2306" spans="1:2">
      <c r="A2306" t="s">
        <v>1794</v>
      </c>
      <c r="B2306" t="s">
        <v>1963</v>
      </c>
    </row>
    <row r="2307" spans="1:2">
      <c r="A2307" t="s">
        <v>2601</v>
      </c>
      <c r="B2307" t="s">
        <v>2629</v>
      </c>
    </row>
    <row r="2308" spans="1:2">
      <c r="A2308" t="s">
        <v>2226</v>
      </c>
      <c r="B2308"/>
    </row>
    <row r="2309" spans="1:2">
      <c r="A2309" t="s">
        <v>2227</v>
      </c>
      <c r="B2309"/>
    </row>
    <row r="2310" spans="1:2">
      <c r="A2310" t="s">
        <v>2228</v>
      </c>
      <c r="B2310"/>
    </row>
    <row r="2311" spans="1:2">
      <c r="A2311" t="s">
        <v>3077</v>
      </c>
      <c r="B2311" t="s">
        <v>306</v>
      </c>
    </row>
    <row r="2312" spans="1:2">
      <c r="A2312" t="s">
        <v>1795</v>
      </c>
      <c r="B2312" t="s">
        <v>139</v>
      </c>
    </row>
    <row r="2313" spans="1:2">
      <c r="A2313" t="s">
        <v>1796</v>
      </c>
      <c r="B2313" t="s">
        <v>611</v>
      </c>
    </row>
    <row r="2314" spans="1:2">
      <c r="A2314" t="s">
        <v>1797</v>
      </c>
      <c r="B2314" t="s">
        <v>612</v>
      </c>
    </row>
    <row r="2315" spans="1:2">
      <c r="A2315" t="s">
        <v>1798</v>
      </c>
      <c r="B2315" t="s">
        <v>3408</v>
      </c>
    </row>
    <row r="2316" spans="1:2">
      <c r="A2316" t="s">
        <v>1799</v>
      </c>
      <c r="B2316" t="s">
        <v>3366</v>
      </c>
    </row>
    <row r="2317" spans="1:2">
      <c r="A2317" t="s">
        <v>1800</v>
      </c>
      <c r="B2317" t="s">
        <v>2605</v>
      </c>
    </row>
    <row r="2318" spans="1:2">
      <c r="A2318" t="s">
        <v>1801</v>
      </c>
      <c r="B2318" t="s">
        <v>1972</v>
      </c>
    </row>
    <row r="2319" spans="1:2">
      <c r="A2319" t="s">
        <v>2602</v>
      </c>
      <c r="B2319" t="s">
        <v>2629</v>
      </c>
    </row>
    <row r="2320" spans="1:2">
      <c r="A2320" t="s">
        <v>2229</v>
      </c>
      <c r="B2320"/>
    </row>
    <row r="2321" spans="1:2">
      <c r="A2321" t="s">
        <v>2230</v>
      </c>
      <c r="B2321"/>
    </row>
    <row r="2322" spans="1:2">
      <c r="A2322" t="s">
        <v>2231</v>
      </c>
      <c r="B2322"/>
    </row>
    <row r="2323" spans="1:2">
      <c r="A2323" t="s">
        <v>3078</v>
      </c>
      <c r="B2323" t="s">
        <v>306</v>
      </c>
    </row>
    <row r="2324" spans="1:2">
      <c r="A2324" t="s">
        <v>1802</v>
      </c>
      <c r="B2324" t="s">
        <v>138</v>
      </c>
    </row>
    <row r="2325" spans="1:2">
      <c r="A2325" t="s">
        <v>1803</v>
      </c>
      <c r="B2325" t="s">
        <v>613</v>
      </c>
    </row>
    <row r="2326" spans="1:2">
      <c r="A2326" t="s">
        <v>1804</v>
      </c>
      <c r="B2326" t="s">
        <v>614</v>
      </c>
    </row>
    <row r="2327" spans="1:2">
      <c r="A2327" t="s">
        <v>1805</v>
      </c>
      <c r="B2327" t="s">
        <v>3385</v>
      </c>
    </row>
    <row r="2328" spans="1:2">
      <c r="A2328" t="s">
        <v>1806</v>
      </c>
      <c r="B2328" t="s">
        <v>3367</v>
      </c>
    </row>
    <row r="2329" spans="1:2">
      <c r="A2329" t="s">
        <v>1807</v>
      </c>
      <c r="B2329" t="s">
        <v>615</v>
      </c>
    </row>
    <row r="2330" spans="1:2">
      <c r="A2330" t="s">
        <v>1808</v>
      </c>
      <c r="B2330" t="s">
        <v>1962</v>
      </c>
    </row>
    <row r="2331" spans="1:2">
      <c r="A2331" t="s">
        <v>2603</v>
      </c>
      <c r="B2331" t="s">
        <v>2629</v>
      </c>
    </row>
    <row r="2332" spans="1:2">
      <c r="A2332" t="s">
        <v>2232</v>
      </c>
      <c r="B2332"/>
    </row>
    <row r="2333" spans="1:2">
      <c r="A2333" t="s">
        <v>2233</v>
      </c>
      <c r="B2333"/>
    </row>
    <row r="2334" spans="1:2">
      <c r="A2334" t="s">
        <v>2234</v>
      </c>
      <c r="B2334"/>
    </row>
    <row r="2335" spans="1:2">
      <c r="A2335" t="s">
        <v>3079</v>
      </c>
      <c r="B2335" t="s">
        <v>306</v>
      </c>
    </row>
    <row r="2336" spans="1:2">
      <c r="A2336" t="s">
        <v>1809</v>
      </c>
      <c r="B2336" t="s">
        <v>81</v>
      </c>
    </row>
    <row r="2337" spans="1:2">
      <c r="A2337" t="s">
        <v>1810</v>
      </c>
      <c r="B2337" t="s">
        <v>307</v>
      </c>
    </row>
    <row r="2338" spans="1:2">
      <c r="A2338" t="s">
        <v>1811</v>
      </c>
      <c r="B2338" t="s">
        <v>308</v>
      </c>
    </row>
    <row r="2339" spans="1:2">
      <c r="A2339" t="s">
        <v>1812</v>
      </c>
      <c r="B2339" t="s">
        <v>466</v>
      </c>
    </row>
    <row r="2340" spans="1:2">
      <c r="A2340" t="s">
        <v>1813</v>
      </c>
      <c r="B2340" t="s">
        <v>309</v>
      </c>
    </row>
    <row r="2341" spans="1:2">
      <c r="A2341" t="s">
        <v>1814</v>
      </c>
      <c r="B2341" t="s">
        <v>310</v>
      </c>
    </row>
    <row r="2342" spans="1:2">
      <c r="A2342" t="s">
        <v>1815</v>
      </c>
      <c r="B2342" t="s">
        <v>1962</v>
      </c>
    </row>
    <row r="2343" spans="1:2">
      <c r="A2343" t="s">
        <v>2604</v>
      </c>
      <c r="B2343" t="s">
        <v>2630</v>
      </c>
    </row>
    <row r="2344" spans="1:2">
      <c r="A2344" t="s">
        <v>2235</v>
      </c>
      <c r="B2344"/>
    </row>
    <row r="2345" spans="1:2">
      <c r="A2345" t="s">
        <v>2236</v>
      </c>
      <c r="B2345" t="s">
        <v>1900</v>
      </c>
    </row>
    <row r="2346" spans="1:2">
      <c r="A2346" t="s">
        <v>2237</v>
      </c>
      <c r="B2346" t="s">
        <v>1901</v>
      </c>
    </row>
    <row r="2347" spans="1:2">
      <c r="A2347" t="s">
        <v>3080</v>
      </c>
      <c r="B2347" t="s">
        <v>306</v>
      </c>
    </row>
    <row r="2348" spans="1:2">
      <c r="A2348" t="s">
        <v>1816</v>
      </c>
      <c r="B2348" t="s">
        <v>103</v>
      </c>
    </row>
    <row r="2349" spans="1:2">
      <c r="A2349" t="s">
        <v>1817</v>
      </c>
      <c r="B2349" t="s">
        <v>396</v>
      </c>
    </row>
    <row r="2350" spans="1:2">
      <c r="A2350" t="s">
        <v>1818</v>
      </c>
      <c r="B2350" t="s">
        <v>397</v>
      </c>
    </row>
    <row r="2351" spans="1:2">
      <c r="A2351" t="s">
        <v>1819</v>
      </c>
      <c r="B2351" t="s">
        <v>490</v>
      </c>
    </row>
    <row r="2352" spans="1:2">
      <c r="A2352" t="s">
        <v>1820</v>
      </c>
      <c r="B2352" t="s">
        <v>398</v>
      </c>
    </row>
    <row r="2353" spans="1:2">
      <c r="A2353" t="s">
        <v>1821</v>
      </c>
      <c r="B2353" t="s">
        <v>399</v>
      </c>
    </row>
    <row r="2354" spans="1:2">
      <c r="A2354" t="s">
        <v>1822</v>
      </c>
      <c r="B2354" t="s">
        <v>1962</v>
      </c>
    </row>
    <row r="2355" spans="1:2">
      <c r="A2355" t="s">
        <v>2606</v>
      </c>
      <c r="B2355" t="s">
        <v>2627</v>
      </c>
    </row>
    <row r="2356" spans="1:2">
      <c r="A2356" t="s">
        <v>2238</v>
      </c>
      <c r="B2356"/>
    </row>
    <row r="2357" spans="1:2">
      <c r="A2357" t="s">
        <v>2239</v>
      </c>
      <c r="B2357"/>
    </row>
    <row r="2358" spans="1:2">
      <c r="A2358" t="s">
        <v>2240</v>
      </c>
      <c r="B2358" t="s">
        <v>1901</v>
      </c>
    </row>
    <row r="2359" spans="1:2">
      <c r="A2359" t="s">
        <v>3081</v>
      </c>
      <c r="B2359" t="s">
        <v>306</v>
      </c>
    </row>
    <row r="2360" spans="1:2">
      <c r="A2360" t="s">
        <v>1823</v>
      </c>
      <c r="B2360" t="s">
        <v>104</v>
      </c>
    </row>
    <row r="2361" spans="1:2">
      <c r="A2361" t="s">
        <v>1824</v>
      </c>
      <c r="B2361" t="s">
        <v>400</v>
      </c>
    </row>
    <row r="2362" spans="1:2">
      <c r="A2362" t="s">
        <v>1825</v>
      </c>
      <c r="B2362" t="s">
        <v>401</v>
      </c>
    </row>
    <row r="2363" spans="1:2">
      <c r="A2363" t="s">
        <v>1826</v>
      </c>
      <c r="B2363" t="s">
        <v>491</v>
      </c>
    </row>
    <row r="2364" spans="1:2">
      <c r="A2364" t="s">
        <v>1827</v>
      </c>
      <c r="B2364" t="s">
        <v>402</v>
      </c>
    </row>
    <row r="2365" spans="1:2">
      <c r="A2365" t="s">
        <v>1828</v>
      </c>
      <c r="B2365" t="s">
        <v>403</v>
      </c>
    </row>
    <row r="2366" spans="1:2">
      <c r="A2366" t="s">
        <v>1829</v>
      </c>
      <c r="B2366" t="s">
        <v>1973</v>
      </c>
    </row>
    <row r="2367" spans="1:2">
      <c r="A2367" t="s">
        <v>2607</v>
      </c>
      <c r="B2367" t="s">
        <v>2627</v>
      </c>
    </row>
    <row r="2368" spans="1:2">
      <c r="A2368" t="s">
        <v>2241</v>
      </c>
      <c r="B2368"/>
    </row>
    <row r="2369" spans="1:2">
      <c r="A2369" t="s">
        <v>2242</v>
      </c>
      <c r="B2369"/>
    </row>
    <row r="2370" spans="1:2">
      <c r="A2370" t="s">
        <v>2243</v>
      </c>
      <c r="B2370" t="s">
        <v>1901</v>
      </c>
    </row>
    <row r="2371" spans="1:2">
      <c r="A2371" t="s">
        <v>3082</v>
      </c>
      <c r="B2371" t="s">
        <v>306</v>
      </c>
    </row>
    <row r="2372" spans="1:2">
      <c r="A2372" t="s">
        <v>1830</v>
      </c>
      <c r="B2372" t="s">
        <v>616</v>
      </c>
    </row>
    <row r="2373" spans="1:2">
      <c r="A2373" t="s">
        <v>1831</v>
      </c>
      <c r="B2373" t="s">
        <v>617</v>
      </c>
    </row>
    <row r="2374" spans="1:2">
      <c r="A2374" t="s">
        <v>1832</v>
      </c>
      <c r="B2374" t="s">
        <v>618</v>
      </c>
    </row>
    <row r="2375" spans="1:2">
      <c r="A2375" t="s">
        <v>1833</v>
      </c>
      <c r="B2375" t="s">
        <v>3409</v>
      </c>
    </row>
    <row r="2376" spans="1:2">
      <c r="A2376" t="s">
        <v>1834</v>
      </c>
      <c r="B2376" t="s">
        <v>3368</v>
      </c>
    </row>
    <row r="2377" spans="1:2">
      <c r="A2377" t="s">
        <v>1835</v>
      </c>
      <c r="B2377" t="s">
        <v>619</v>
      </c>
    </row>
    <row r="2378" spans="1:2">
      <c r="A2378" t="s">
        <v>1836</v>
      </c>
      <c r="B2378" t="s">
        <v>1971</v>
      </c>
    </row>
    <row r="2379" spans="1:2">
      <c r="A2379" t="s">
        <v>2608</v>
      </c>
      <c r="B2379" t="s">
        <v>2629</v>
      </c>
    </row>
    <row r="2380" spans="1:2">
      <c r="A2380" t="s">
        <v>2244</v>
      </c>
      <c r="B2380"/>
    </row>
    <row r="2381" spans="1:2">
      <c r="A2381" t="s">
        <v>2245</v>
      </c>
      <c r="B2381"/>
    </row>
    <row r="2382" spans="1:2">
      <c r="A2382" t="s">
        <v>2246</v>
      </c>
      <c r="B2382"/>
    </row>
    <row r="2383" spans="1:2">
      <c r="A2383" t="s">
        <v>3083</v>
      </c>
      <c r="B2383" t="s">
        <v>306</v>
      </c>
    </row>
    <row r="2384" spans="1:2">
      <c r="A2384" t="s">
        <v>1837</v>
      </c>
      <c r="B2384" t="s">
        <v>105</v>
      </c>
    </row>
    <row r="2385" spans="1:2">
      <c r="A2385" t="s">
        <v>1838</v>
      </c>
      <c r="B2385" t="s">
        <v>404</v>
      </c>
    </row>
    <row r="2386" spans="1:2">
      <c r="A2386" t="s">
        <v>1839</v>
      </c>
      <c r="B2386" t="s">
        <v>405</v>
      </c>
    </row>
    <row r="2387" spans="1:2">
      <c r="A2387" t="s">
        <v>1840</v>
      </c>
      <c r="B2387" t="s">
        <v>492</v>
      </c>
    </row>
    <row r="2388" spans="1:2">
      <c r="A2388" t="s">
        <v>1841</v>
      </c>
      <c r="B2388" t="s">
        <v>406</v>
      </c>
    </row>
    <row r="2389" spans="1:2">
      <c r="A2389" t="s">
        <v>1842</v>
      </c>
      <c r="B2389" t="s">
        <v>407</v>
      </c>
    </row>
    <row r="2390" spans="1:2">
      <c r="A2390" t="s">
        <v>1843</v>
      </c>
      <c r="B2390" t="s">
        <v>1962</v>
      </c>
    </row>
    <row r="2391" spans="1:2">
      <c r="A2391" t="s">
        <v>2609</v>
      </c>
      <c r="B2391" t="s">
        <v>2630</v>
      </c>
    </row>
    <row r="2392" spans="1:2">
      <c r="A2392" t="s">
        <v>2247</v>
      </c>
      <c r="B2392" t="s">
        <v>1900</v>
      </c>
    </row>
    <row r="2393" spans="1:2">
      <c r="A2393" t="s">
        <v>2248</v>
      </c>
      <c r="B2393"/>
    </row>
    <row r="2394" spans="1:2">
      <c r="A2394" t="s">
        <v>2249</v>
      </c>
      <c r="B2394" t="s">
        <v>1901</v>
      </c>
    </row>
    <row r="2395" spans="1:2">
      <c r="A2395" t="s">
        <v>3084</v>
      </c>
      <c r="B2395" t="s">
        <v>306</v>
      </c>
    </row>
    <row r="2396" spans="1:2">
      <c r="A2396" t="s">
        <v>1844</v>
      </c>
      <c r="B2396" t="s">
        <v>151</v>
      </c>
    </row>
    <row r="2397" spans="1:2">
      <c r="A2397" t="s">
        <v>1845</v>
      </c>
      <c r="B2397" t="s">
        <v>620</v>
      </c>
    </row>
    <row r="2398" spans="1:2">
      <c r="A2398" t="s">
        <v>1846</v>
      </c>
      <c r="B2398" t="s">
        <v>621</v>
      </c>
    </row>
    <row r="2399" spans="1:2">
      <c r="A2399" t="s">
        <v>1847</v>
      </c>
      <c r="B2399" t="s">
        <v>3410</v>
      </c>
    </row>
    <row r="2400" spans="1:2">
      <c r="A2400" t="s">
        <v>1848</v>
      </c>
      <c r="B2400" t="s">
        <v>3369</v>
      </c>
    </row>
    <row r="2401" spans="1:2">
      <c r="A2401" t="s">
        <v>1849</v>
      </c>
      <c r="B2401" t="s">
        <v>622</v>
      </c>
    </row>
    <row r="2402" spans="1:2">
      <c r="A2402" t="s">
        <v>1850</v>
      </c>
      <c r="B2402" t="s">
        <v>1964</v>
      </c>
    </row>
    <row r="2403" spans="1:2">
      <c r="A2403" t="s">
        <v>2610</v>
      </c>
      <c r="B2403" t="s">
        <v>2629</v>
      </c>
    </row>
    <row r="2404" spans="1:2">
      <c r="A2404" t="s">
        <v>2250</v>
      </c>
      <c r="B2404"/>
    </row>
    <row r="2405" spans="1:2">
      <c r="A2405" t="s">
        <v>2251</v>
      </c>
      <c r="B2405"/>
    </row>
    <row r="2406" spans="1:2">
      <c r="A2406" t="s">
        <v>2252</v>
      </c>
      <c r="B2406"/>
    </row>
    <row r="2407" spans="1:2">
      <c r="A2407" t="s">
        <v>3085</v>
      </c>
      <c r="B2407" t="s">
        <v>311</v>
      </c>
    </row>
    <row r="2408" spans="1:2">
      <c r="A2408" t="s">
        <v>1851</v>
      </c>
      <c r="B2408" t="s">
        <v>2290</v>
      </c>
    </row>
    <row r="2409" spans="1:2">
      <c r="A2409" t="s">
        <v>1852</v>
      </c>
      <c r="B2409" t="s">
        <v>2614</v>
      </c>
    </row>
    <row r="2410" spans="1:2">
      <c r="A2410" t="s">
        <v>1853</v>
      </c>
      <c r="B2410" t="s">
        <v>2615</v>
      </c>
    </row>
    <row r="2411" spans="1:2">
      <c r="A2411" t="s">
        <v>1854</v>
      </c>
      <c r="B2411" t="s">
        <v>3411</v>
      </c>
    </row>
    <row r="2412" spans="1:2">
      <c r="A2412" t="s">
        <v>1855</v>
      </c>
      <c r="B2412" t="s">
        <v>3370</v>
      </c>
    </row>
    <row r="2413" spans="1:2">
      <c r="A2413" t="s">
        <v>1856</v>
      </c>
      <c r="B2413" t="s">
        <v>2616</v>
      </c>
    </row>
    <row r="2414" spans="1:2">
      <c r="A2414" t="s">
        <v>1857</v>
      </c>
      <c r="B2414"/>
    </row>
    <row r="2415" spans="1:2">
      <c r="A2415" t="s">
        <v>2611</v>
      </c>
      <c r="B2415"/>
    </row>
    <row r="2416" spans="1:2">
      <c r="A2416" t="s">
        <v>2253</v>
      </c>
      <c r="B2416"/>
    </row>
    <row r="2417" spans="1:2">
      <c r="A2417" t="s">
        <v>2254</v>
      </c>
      <c r="B2417"/>
    </row>
    <row r="2418" spans="1:2">
      <c r="A2418" t="s">
        <v>2255</v>
      </c>
      <c r="B2418"/>
    </row>
    <row r="2419" spans="1:2">
      <c r="A2419" t="s">
        <v>3086</v>
      </c>
      <c r="B2419" t="s">
        <v>311</v>
      </c>
    </row>
    <row r="2420" spans="1:2">
      <c r="A2420" t="s">
        <v>1858</v>
      </c>
      <c r="B2420" t="s">
        <v>106</v>
      </c>
    </row>
    <row r="2421" spans="1:2">
      <c r="A2421" t="s">
        <v>1859</v>
      </c>
      <c r="B2421" t="s">
        <v>408</v>
      </c>
    </row>
    <row r="2422" spans="1:2">
      <c r="A2422" t="s">
        <v>1860</v>
      </c>
      <c r="B2422" t="s">
        <v>409</v>
      </c>
    </row>
    <row r="2423" spans="1:2">
      <c r="A2423" t="s">
        <v>1861</v>
      </c>
      <c r="B2423" t="s">
        <v>493</v>
      </c>
    </row>
    <row r="2424" spans="1:2">
      <c r="A2424" t="s">
        <v>1862</v>
      </c>
      <c r="B2424" t="s">
        <v>410</v>
      </c>
    </row>
    <row r="2425" spans="1:2">
      <c r="A2425" t="s">
        <v>1863</v>
      </c>
      <c r="B2425" t="s">
        <v>411</v>
      </c>
    </row>
    <row r="2426" spans="1:2">
      <c r="A2426" t="s">
        <v>1864</v>
      </c>
      <c r="B2426" t="s">
        <v>1974</v>
      </c>
    </row>
    <row r="2427" spans="1:2">
      <c r="A2427" t="s">
        <v>2612</v>
      </c>
      <c r="B2427" t="s">
        <v>2627</v>
      </c>
    </row>
    <row r="2428" spans="1:2">
      <c r="A2428" t="s">
        <v>2256</v>
      </c>
      <c r="B2428"/>
    </row>
    <row r="2429" spans="1:2">
      <c r="A2429" t="s">
        <v>2257</v>
      </c>
      <c r="B2429"/>
    </row>
    <row r="2430" spans="1:2">
      <c r="A2430" t="s">
        <v>2258</v>
      </c>
      <c r="B2430" t="s">
        <v>1901</v>
      </c>
    </row>
    <row r="2431" spans="1:2">
      <c r="A2431" t="s">
        <v>3087</v>
      </c>
      <c r="B2431" t="s">
        <v>311</v>
      </c>
    </row>
    <row r="2432" spans="1:2">
      <c r="A2432" t="s">
        <v>1865</v>
      </c>
      <c r="B2432" t="s">
        <v>136</v>
      </c>
    </row>
    <row r="2433" spans="1:2">
      <c r="A2433" t="s">
        <v>1866</v>
      </c>
      <c r="B2433" t="s">
        <v>623</v>
      </c>
    </row>
    <row r="2434" spans="1:2">
      <c r="A2434" t="s">
        <v>1867</v>
      </c>
      <c r="B2434" t="s">
        <v>624</v>
      </c>
    </row>
    <row r="2435" spans="1:2">
      <c r="A2435" t="s">
        <v>1868</v>
      </c>
      <c r="B2435" t="s">
        <v>3381</v>
      </c>
    </row>
    <row r="2436" spans="1:2">
      <c r="A2436" t="s">
        <v>1869</v>
      </c>
      <c r="B2436" t="s">
        <v>3371</v>
      </c>
    </row>
    <row r="2437" spans="1:2">
      <c r="A2437" t="s">
        <v>1870</v>
      </c>
      <c r="B2437" t="s">
        <v>625</v>
      </c>
    </row>
    <row r="2438" spans="1:2">
      <c r="A2438" t="s">
        <v>1871</v>
      </c>
      <c r="B2438" t="s">
        <v>1963</v>
      </c>
    </row>
    <row r="2439" spans="1:2">
      <c r="A2439" t="s">
        <v>2613</v>
      </c>
      <c r="B2439" t="s">
        <v>2629</v>
      </c>
    </row>
    <row r="2440" spans="1:2">
      <c r="A2440" t="s">
        <v>2259</v>
      </c>
      <c r="B2440"/>
    </row>
    <row r="2441" spans="1:2">
      <c r="A2441" t="s">
        <v>2260</v>
      </c>
      <c r="B2441"/>
    </row>
    <row r="2442" spans="1:2">
      <c r="A2442" t="s">
        <v>2261</v>
      </c>
      <c r="B2442"/>
    </row>
    <row r="2443" spans="1:2">
      <c r="A2443" t="s">
        <v>3088</v>
      </c>
      <c r="B2443" t="s">
        <v>311</v>
      </c>
    </row>
    <row r="2444" spans="1:2">
      <c r="A2444" t="s">
        <v>1872</v>
      </c>
      <c r="B2444" t="s">
        <v>107</v>
      </c>
    </row>
    <row r="2445" spans="1:2">
      <c r="A2445" t="s">
        <v>1873</v>
      </c>
      <c r="B2445" t="s">
        <v>412</v>
      </c>
    </row>
    <row r="2446" spans="1:2">
      <c r="A2446" t="s">
        <v>1874</v>
      </c>
      <c r="B2446" t="s">
        <v>413</v>
      </c>
    </row>
    <row r="2447" spans="1:2">
      <c r="A2447" t="s">
        <v>1875</v>
      </c>
      <c r="B2447" t="s">
        <v>494</v>
      </c>
    </row>
    <row r="2448" spans="1:2">
      <c r="A2448" t="s">
        <v>1876</v>
      </c>
      <c r="B2448" t="s">
        <v>414</v>
      </c>
    </row>
    <row r="2449" spans="1:2">
      <c r="A2449" t="s">
        <v>1877</v>
      </c>
      <c r="B2449" t="s">
        <v>415</v>
      </c>
    </row>
    <row r="2450" spans="1:2">
      <c r="A2450" t="s">
        <v>1878</v>
      </c>
      <c r="B2450" t="s">
        <v>1962</v>
      </c>
    </row>
    <row r="2451" spans="1:2">
      <c r="A2451" t="s">
        <v>2617</v>
      </c>
      <c r="B2451" t="s">
        <v>2627</v>
      </c>
    </row>
    <row r="2452" spans="1:2">
      <c r="A2452" t="s">
        <v>2262</v>
      </c>
      <c r="B2452"/>
    </row>
    <row r="2453" spans="1:2">
      <c r="A2453" t="s">
        <v>2263</v>
      </c>
      <c r="B2453"/>
    </row>
    <row r="2454" spans="1:2">
      <c r="A2454" t="s">
        <v>2264</v>
      </c>
      <c r="B2454" t="s">
        <v>1901</v>
      </c>
    </row>
    <row r="2455" spans="1:2">
      <c r="A2455" t="s">
        <v>3089</v>
      </c>
      <c r="B2455" t="s">
        <v>311</v>
      </c>
    </row>
    <row r="2456" spans="1:2">
      <c r="A2456" t="s">
        <v>1879</v>
      </c>
      <c r="B2456" t="s">
        <v>626</v>
      </c>
    </row>
    <row r="2457" spans="1:2">
      <c r="A2457" t="s">
        <v>1880</v>
      </c>
      <c r="B2457" t="s">
        <v>627</v>
      </c>
    </row>
    <row r="2458" spans="1:2">
      <c r="A2458" t="s">
        <v>1881</v>
      </c>
      <c r="B2458" t="s">
        <v>628</v>
      </c>
    </row>
    <row r="2459" spans="1:2">
      <c r="A2459" t="s">
        <v>1882</v>
      </c>
      <c r="B2459" t="s">
        <v>3392</v>
      </c>
    </row>
    <row r="2460" spans="1:2">
      <c r="A2460" t="s">
        <v>1883</v>
      </c>
      <c r="B2460" t="s">
        <v>3372</v>
      </c>
    </row>
    <row r="2461" spans="1:2">
      <c r="A2461" t="s">
        <v>1884</v>
      </c>
      <c r="B2461" t="s">
        <v>629</v>
      </c>
    </row>
    <row r="2462" spans="1:2">
      <c r="A2462" t="s">
        <v>1885</v>
      </c>
      <c r="B2462" t="s">
        <v>1963</v>
      </c>
    </row>
    <row r="2463" spans="1:2">
      <c r="A2463" t="s">
        <v>2618</v>
      </c>
      <c r="B2463" t="s">
        <v>2629</v>
      </c>
    </row>
    <row r="2464" spans="1:2">
      <c r="A2464" t="s">
        <v>2265</v>
      </c>
      <c r="B2464"/>
    </row>
    <row r="2465" spans="1:2">
      <c r="A2465" t="s">
        <v>2266</v>
      </c>
      <c r="B2465"/>
    </row>
    <row r="2466" spans="1:2">
      <c r="A2466" t="s">
        <v>2267</v>
      </c>
      <c r="B2466"/>
    </row>
    <row r="2467" spans="1:2">
      <c r="A2467" t="s">
        <v>3090</v>
      </c>
      <c r="B2467" t="s">
        <v>630</v>
      </c>
    </row>
    <row r="2468" spans="1:2">
      <c r="A2468" t="s">
        <v>1886</v>
      </c>
      <c r="B2468" t="s">
        <v>631</v>
      </c>
    </row>
    <row r="2469" spans="1:2">
      <c r="A2469" t="s">
        <v>1887</v>
      </c>
      <c r="B2469" t="s">
        <v>632</v>
      </c>
    </row>
    <row r="2470" spans="1:2">
      <c r="A2470" t="s">
        <v>1888</v>
      </c>
      <c r="B2470" t="s">
        <v>2621</v>
      </c>
    </row>
    <row r="2471" spans="1:2">
      <c r="A2471" t="s">
        <v>1889</v>
      </c>
      <c r="B2471" t="s">
        <v>633</v>
      </c>
    </row>
    <row r="2472" spans="1:2">
      <c r="A2472" t="s">
        <v>1890</v>
      </c>
      <c r="B2472" t="s">
        <v>3373</v>
      </c>
    </row>
    <row r="2473" spans="1:2">
      <c r="A2473" t="s">
        <v>1891</v>
      </c>
      <c r="B2473" t="s">
        <v>634</v>
      </c>
    </row>
    <row r="2474" spans="1:2">
      <c r="A2474" t="s">
        <v>1892</v>
      </c>
      <c r="B2474" t="s">
        <v>2538</v>
      </c>
    </row>
    <row r="2475" spans="1:2">
      <c r="A2475" t="s">
        <v>2619</v>
      </c>
      <c r="B2475" t="s">
        <v>2629</v>
      </c>
    </row>
    <row r="2476" spans="1:2">
      <c r="A2476" t="s">
        <v>2268</v>
      </c>
      <c r="B2476"/>
    </row>
    <row r="2477" spans="1:2">
      <c r="A2477" t="s">
        <v>2269</v>
      </c>
      <c r="B2477"/>
    </row>
    <row r="2478" spans="1:2">
      <c r="A2478" t="s">
        <v>2270</v>
      </c>
      <c r="B2478"/>
    </row>
    <row r="2479" spans="1:2">
      <c r="A2479" t="s">
        <v>3091</v>
      </c>
      <c r="B2479" t="s">
        <v>416</v>
      </c>
    </row>
    <row r="2480" spans="1:2">
      <c r="A2480" t="s">
        <v>1893</v>
      </c>
      <c r="B2480" t="s">
        <v>66</v>
      </c>
    </row>
    <row r="2481" spans="1:2">
      <c r="A2481" t="s">
        <v>1894</v>
      </c>
      <c r="B2481" t="s">
        <v>240</v>
      </c>
    </row>
    <row r="2482" spans="1:2">
      <c r="A2482" t="s">
        <v>1895</v>
      </c>
      <c r="B2482" t="s">
        <v>241</v>
      </c>
    </row>
    <row r="2483" spans="1:2">
      <c r="A2483" t="s">
        <v>1896</v>
      </c>
      <c r="B2483" t="s">
        <v>434</v>
      </c>
    </row>
    <row r="2484" spans="1:2">
      <c r="A2484" t="s">
        <v>1897</v>
      </c>
      <c r="B2484" t="s">
        <v>242</v>
      </c>
    </row>
    <row r="2485" spans="1:2">
      <c r="A2485" t="s">
        <v>1898</v>
      </c>
      <c r="B2485" t="s">
        <v>243</v>
      </c>
    </row>
    <row r="2486" spans="1:2">
      <c r="A2486" t="s">
        <v>1899</v>
      </c>
      <c r="B2486" t="s">
        <v>1962</v>
      </c>
    </row>
    <row r="2487" spans="1:2">
      <c r="A2487" t="s">
        <v>2620</v>
      </c>
      <c r="B2487" t="s">
        <v>2625</v>
      </c>
    </row>
    <row r="2488" spans="1:2">
      <c r="A2488" t="s">
        <v>2271</v>
      </c>
      <c r="B2488" t="s">
        <v>1902</v>
      </c>
    </row>
    <row r="2489" spans="1:2">
      <c r="A2489" t="s">
        <v>2272</v>
      </c>
      <c r="B2489" t="s">
        <v>1900</v>
      </c>
    </row>
    <row r="2490" spans="1:2">
      <c r="A2490" t="s">
        <v>2273</v>
      </c>
      <c r="B2490"/>
    </row>
    <row r="2491" spans="1:2">
      <c r="A2491" t="s">
        <v>3092</v>
      </c>
      <c r="B2491" t="s">
        <v>244</v>
      </c>
    </row>
    <row r="2492" spans="1:2">
      <c r="B2492"/>
    </row>
    <row r="2493" spans="1:2">
      <c r="B2493"/>
    </row>
    <row r="2494" spans="1:2">
      <c r="B2494"/>
    </row>
    <row r="2495" spans="1:2">
      <c r="B2495"/>
    </row>
    <row r="2496" spans="1:2">
      <c r="B2496"/>
    </row>
    <row r="2497" spans="2:2">
      <c r="B2497"/>
    </row>
    <row r="2498" spans="2:2">
      <c r="B2498"/>
    </row>
    <row r="2499" spans="2:2">
      <c r="B2499"/>
    </row>
    <row r="2500" spans="2:2">
      <c r="B2500"/>
    </row>
    <row r="2501" spans="2:2">
      <c r="B2501"/>
    </row>
    <row r="2502" spans="2:2">
      <c r="B2502"/>
    </row>
    <row r="2503" spans="2:2">
      <c r="B2503"/>
    </row>
    <row r="2504" spans="2:2">
      <c r="B2504"/>
    </row>
    <row r="2505" spans="2:2">
      <c r="B2505"/>
    </row>
    <row r="2506" spans="2:2">
      <c r="B2506"/>
    </row>
    <row r="2507" spans="2:2">
      <c r="B2507"/>
    </row>
    <row r="2508" spans="2:2">
      <c r="B2508"/>
    </row>
    <row r="2509" spans="2:2">
      <c r="B2509"/>
    </row>
    <row r="2510" spans="2:2">
      <c r="B2510"/>
    </row>
    <row r="2511" spans="2:2">
      <c r="B2511"/>
    </row>
    <row r="2512" spans="2:2">
      <c r="B2512"/>
    </row>
    <row r="2513" spans="2:2">
      <c r="B2513"/>
    </row>
    <row r="2514" spans="2:2">
      <c r="B2514"/>
    </row>
    <row r="2515" spans="2:2">
      <c r="B2515"/>
    </row>
    <row r="2516" spans="2:2">
      <c r="B2516"/>
    </row>
    <row r="2517" spans="2:2">
      <c r="B2517"/>
    </row>
    <row r="2518" spans="2:2">
      <c r="B2518"/>
    </row>
    <row r="2519" spans="2:2">
      <c r="B2519"/>
    </row>
    <row r="2520" spans="2:2">
      <c r="B2520"/>
    </row>
    <row r="2521" spans="2:2">
      <c r="B2521"/>
    </row>
    <row r="2522" spans="2:2">
      <c r="B2522"/>
    </row>
    <row r="2523" spans="2:2">
      <c r="B2523"/>
    </row>
    <row r="2524" spans="2:2">
      <c r="B2524"/>
    </row>
    <row r="2525" spans="2:2">
      <c r="B2525"/>
    </row>
    <row r="2526" spans="2:2">
      <c r="B2526"/>
    </row>
    <row r="2527" spans="2:2">
      <c r="B2527"/>
    </row>
    <row r="2528" spans="2:2">
      <c r="B2528"/>
    </row>
    <row r="2529" spans="2:2">
      <c r="B2529"/>
    </row>
    <row r="2530" spans="2:2">
      <c r="B2530"/>
    </row>
    <row r="2531" spans="2:2">
      <c r="B2531"/>
    </row>
    <row r="2532" spans="2:2">
      <c r="B2532"/>
    </row>
    <row r="2533" spans="2:2">
      <c r="B2533"/>
    </row>
    <row r="2534" spans="2:2">
      <c r="B2534"/>
    </row>
    <row r="2535" spans="2:2">
      <c r="B2535"/>
    </row>
    <row r="2536" spans="2:2">
      <c r="B2536"/>
    </row>
    <row r="2537" spans="2:2">
      <c r="B2537"/>
    </row>
    <row r="2538" spans="2:2">
      <c r="B2538"/>
    </row>
    <row r="2539" spans="2:2">
      <c r="B2539"/>
    </row>
    <row r="2540" spans="2:2">
      <c r="B2540"/>
    </row>
    <row r="2541" spans="2:2">
      <c r="B2541"/>
    </row>
    <row r="2542" spans="2:2">
      <c r="B2542"/>
    </row>
    <row r="2543" spans="2:2">
      <c r="B2543"/>
    </row>
    <row r="2544" spans="2:2">
      <c r="B2544"/>
    </row>
    <row r="2545" spans="2:2">
      <c r="B2545"/>
    </row>
    <row r="2546" spans="2:2">
      <c r="B2546"/>
    </row>
    <row r="2547" spans="2:2">
      <c r="B2547"/>
    </row>
    <row r="2548" spans="2:2">
      <c r="B2548"/>
    </row>
    <row r="2549" spans="2:2">
      <c r="B2549"/>
    </row>
    <row r="2550" spans="2:2">
      <c r="B2550"/>
    </row>
    <row r="2551" spans="2:2">
      <c r="B2551"/>
    </row>
    <row r="2552" spans="2:2">
      <c r="B2552"/>
    </row>
    <row r="2553" spans="2:2">
      <c r="B2553"/>
    </row>
    <row r="2554" spans="2:2">
      <c r="B2554"/>
    </row>
    <row r="2555" spans="2:2">
      <c r="B2555"/>
    </row>
    <row r="2556" spans="2:2">
      <c r="B2556"/>
    </row>
    <row r="2557" spans="2:2">
      <c r="B2557"/>
    </row>
    <row r="2558" spans="2:2">
      <c r="B2558"/>
    </row>
    <row r="2559" spans="2:2">
      <c r="B2559"/>
    </row>
    <row r="2560" spans="2:2">
      <c r="B2560"/>
    </row>
    <row r="2561" spans="2:2">
      <c r="B2561"/>
    </row>
    <row r="2562" spans="2:2">
      <c r="B2562"/>
    </row>
    <row r="2563" spans="2:2">
      <c r="B2563"/>
    </row>
    <row r="2564" spans="2:2">
      <c r="B2564"/>
    </row>
    <row r="2565" spans="2:2">
      <c r="B2565"/>
    </row>
    <row r="2566" spans="2:2">
      <c r="B2566"/>
    </row>
    <row r="2567" spans="2:2">
      <c r="B2567"/>
    </row>
    <row r="2568" spans="2:2">
      <c r="B2568"/>
    </row>
    <row r="2569" spans="2:2">
      <c r="B2569"/>
    </row>
    <row r="2570" spans="2:2">
      <c r="B2570"/>
    </row>
    <row r="2571" spans="2:2">
      <c r="B2571"/>
    </row>
    <row r="2572" spans="2:2">
      <c r="B2572"/>
    </row>
    <row r="2573" spans="2:2">
      <c r="B2573"/>
    </row>
    <row r="2574" spans="2:2">
      <c r="B2574"/>
    </row>
    <row r="2575" spans="2:2">
      <c r="B2575"/>
    </row>
    <row r="2576" spans="2:2">
      <c r="B2576"/>
    </row>
    <row r="2577" spans="2:2">
      <c r="B2577"/>
    </row>
    <row r="2578" spans="2:2">
      <c r="B2578"/>
    </row>
    <row r="2579" spans="2:2">
      <c r="B2579"/>
    </row>
    <row r="2580" spans="2:2">
      <c r="B2580"/>
    </row>
    <row r="2581" spans="2:2">
      <c r="B2581"/>
    </row>
    <row r="2582" spans="2:2">
      <c r="B2582"/>
    </row>
    <row r="2583" spans="2:2">
      <c r="B2583"/>
    </row>
    <row r="2584" spans="2:2">
      <c r="B2584"/>
    </row>
    <row r="2585" spans="2:2">
      <c r="B2585"/>
    </row>
    <row r="2586" spans="2:2">
      <c r="B2586"/>
    </row>
    <row r="2587" spans="2:2">
      <c r="B2587"/>
    </row>
    <row r="2588" spans="2:2">
      <c r="B2588"/>
    </row>
    <row r="2589" spans="2:2">
      <c r="B2589"/>
    </row>
    <row r="2590" spans="2:2">
      <c r="B2590"/>
    </row>
    <row r="2591" spans="2:2">
      <c r="B2591"/>
    </row>
    <row r="2592" spans="2:2">
      <c r="B2592"/>
    </row>
    <row r="2593" spans="2:2">
      <c r="B2593"/>
    </row>
    <row r="2594" spans="2:2">
      <c r="B2594"/>
    </row>
    <row r="2595" spans="2:2">
      <c r="B2595"/>
    </row>
    <row r="2596" spans="2:2">
      <c r="B2596"/>
    </row>
    <row r="2597" spans="2:2">
      <c r="B2597"/>
    </row>
    <row r="2598" spans="2:2">
      <c r="B2598"/>
    </row>
    <row r="2599" spans="2:2">
      <c r="B2599"/>
    </row>
    <row r="2600" spans="2:2">
      <c r="B2600"/>
    </row>
    <row r="2601" spans="2:2">
      <c r="B2601"/>
    </row>
    <row r="2602" spans="2:2">
      <c r="B2602"/>
    </row>
    <row r="2603" spans="2:2">
      <c r="B2603"/>
    </row>
    <row r="2604" spans="2:2">
      <c r="B2604"/>
    </row>
    <row r="2605" spans="2:2">
      <c r="B2605"/>
    </row>
    <row r="2606" spans="2:2">
      <c r="B2606"/>
    </row>
    <row r="2607" spans="2:2">
      <c r="B2607"/>
    </row>
    <row r="2608" spans="2:2">
      <c r="B2608"/>
    </row>
    <row r="2609" spans="2:2">
      <c r="B2609"/>
    </row>
    <row r="2610" spans="2:2">
      <c r="B2610"/>
    </row>
    <row r="2611" spans="2:2">
      <c r="B2611"/>
    </row>
    <row r="2612" spans="2:2">
      <c r="B2612"/>
    </row>
    <row r="2613" spans="2:2">
      <c r="B2613"/>
    </row>
    <row r="2614" spans="2:2">
      <c r="B2614"/>
    </row>
    <row r="2615" spans="2:2">
      <c r="B2615"/>
    </row>
    <row r="2616" spans="2:2">
      <c r="B2616"/>
    </row>
    <row r="2617" spans="2:2">
      <c r="B2617"/>
    </row>
    <row r="2618" spans="2:2">
      <c r="B2618"/>
    </row>
    <row r="2619" spans="2:2">
      <c r="B2619"/>
    </row>
    <row r="2620" spans="2:2">
      <c r="B2620"/>
    </row>
    <row r="2621" spans="2:2">
      <c r="B2621"/>
    </row>
    <row r="2622" spans="2:2">
      <c r="B2622"/>
    </row>
    <row r="2623" spans="2:2">
      <c r="B2623"/>
    </row>
    <row r="2624" spans="2:2">
      <c r="B2624"/>
    </row>
    <row r="2625" spans="2:2">
      <c r="B2625"/>
    </row>
    <row r="2626" spans="2:2">
      <c r="B2626"/>
    </row>
    <row r="2627" spans="2:2">
      <c r="B2627"/>
    </row>
    <row r="2628" spans="2:2">
      <c r="B2628"/>
    </row>
    <row r="2629" spans="2:2">
      <c r="B2629"/>
    </row>
    <row r="2630" spans="2:2">
      <c r="B2630"/>
    </row>
    <row r="2631" spans="2:2">
      <c r="B2631"/>
    </row>
    <row r="2632" spans="2:2">
      <c r="B2632"/>
    </row>
    <row r="2633" spans="2:2">
      <c r="B2633"/>
    </row>
    <row r="2634" spans="2:2">
      <c r="B2634"/>
    </row>
    <row r="2635" spans="2:2">
      <c r="B2635"/>
    </row>
    <row r="2636" spans="2:2">
      <c r="B2636"/>
    </row>
    <row r="2637" spans="2:2">
      <c r="B2637"/>
    </row>
    <row r="2638" spans="2:2">
      <c r="B2638"/>
    </row>
    <row r="2639" spans="2:2">
      <c r="B2639"/>
    </row>
    <row r="2640" spans="2:2">
      <c r="B2640"/>
    </row>
    <row r="2641" spans="2:2">
      <c r="B2641"/>
    </row>
    <row r="2642" spans="2:2">
      <c r="B2642"/>
    </row>
    <row r="2643" spans="2:2">
      <c r="B2643"/>
    </row>
    <row r="2644" spans="2:2">
      <c r="B2644"/>
    </row>
    <row r="2645" spans="2:2">
      <c r="B2645"/>
    </row>
    <row r="2646" spans="2:2">
      <c r="B2646"/>
    </row>
    <row r="2647" spans="2:2">
      <c r="B2647"/>
    </row>
    <row r="2648" spans="2:2">
      <c r="B2648"/>
    </row>
    <row r="2649" spans="2:2">
      <c r="B2649"/>
    </row>
    <row r="2650" spans="2:2">
      <c r="B2650"/>
    </row>
    <row r="2651" spans="2:2">
      <c r="B2651"/>
    </row>
    <row r="2652" spans="2:2">
      <c r="B2652"/>
    </row>
    <row r="2653" spans="2:2">
      <c r="B2653"/>
    </row>
    <row r="2654" spans="2:2">
      <c r="B2654"/>
    </row>
    <row r="2655" spans="2:2">
      <c r="B2655"/>
    </row>
    <row r="2656" spans="2:2">
      <c r="B2656"/>
    </row>
    <row r="2657" spans="2:2">
      <c r="B2657"/>
    </row>
    <row r="2658" spans="2:2">
      <c r="B2658"/>
    </row>
    <row r="2659" spans="2:2">
      <c r="B2659"/>
    </row>
    <row r="2660" spans="2:2">
      <c r="B2660"/>
    </row>
    <row r="2661" spans="2:2">
      <c r="B2661"/>
    </row>
    <row r="2662" spans="2:2">
      <c r="B2662"/>
    </row>
    <row r="2663" spans="2:2">
      <c r="B2663"/>
    </row>
    <row r="2664" spans="2:2">
      <c r="B2664"/>
    </row>
    <row r="2665" spans="2:2">
      <c r="B2665"/>
    </row>
    <row r="2666" spans="2:2">
      <c r="B2666"/>
    </row>
    <row r="2667" spans="2:2">
      <c r="B2667"/>
    </row>
  </sheetData>
  <phoneticPr fontId="1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FF00"/>
  </sheetPr>
  <dimension ref="A1:B9"/>
  <sheetViews>
    <sheetView workbookViewId="0">
      <selection activeCell="B9" sqref="B9"/>
    </sheetView>
  </sheetViews>
  <sheetFormatPr defaultRowHeight="13.5"/>
  <cols>
    <col min="1" max="1" width="30.375" customWidth="1"/>
    <col min="2" max="2" width="9.125" customWidth="1"/>
  </cols>
  <sheetData>
    <row r="1" spans="1:2" s="2" customFormat="1">
      <c r="A1" s="2" t="s">
        <v>120</v>
      </c>
      <c r="B1" s="2" t="s">
        <v>119</v>
      </c>
    </row>
    <row r="2" spans="1:2" s="3" customFormat="1">
      <c r="A2" s="3" t="s">
        <v>121</v>
      </c>
      <c r="B2" s="1" t="s">
        <v>122</v>
      </c>
    </row>
    <row r="3" spans="1:2" s="3" customFormat="1">
      <c r="A3" s="3" t="s">
        <v>124</v>
      </c>
      <c r="B3" s="1" t="s">
        <v>123</v>
      </c>
    </row>
    <row r="4" spans="1:2">
      <c r="A4" t="s">
        <v>125</v>
      </c>
      <c r="B4" t="str">
        <f>"/fs/"&amp;B3&amp;"/"</f>
        <v>/fs/lilietnene/</v>
      </c>
    </row>
    <row r="5" spans="1:2">
      <c r="A5" t="s">
        <v>125</v>
      </c>
      <c r="B5" t="s">
        <v>126</v>
      </c>
    </row>
    <row r="6" spans="1:2">
      <c r="A6" t="s">
        <v>127</v>
      </c>
      <c r="B6" t="s">
        <v>128</v>
      </c>
    </row>
    <row r="7" spans="1:2">
      <c r="A7" t="s">
        <v>132</v>
      </c>
      <c r="B7" t="s">
        <v>135</v>
      </c>
    </row>
    <row r="8" spans="1:2">
      <c r="A8" t="s">
        <v>133</v>
      </c>
      <c r="B8" t="s">
        <v>134</v>
      </c>
    </row>
    <row r="9" spans="1:2">
      <c r="A9" t="s">
        <v>2636</v>
      </c>
      <c r="B9" t="s">
        <v>157</v>
      </c>
    </row>
  </sheetData>
  <phoneticPr fontId="18"/>
  <hyperlinks>
    <hyperlink ref="B2" r:id="rId1"/>
  </hyperlinks>
  <pageMargins left="0.7" right="0.7" top="0.75" bottom="0.75" header="0.3" footer="0.3"/>
  <pageSetup paperSize="9" orientation="portrait" horizontalDpi="4294967293"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K7"/>
  <sheetViews>
    <sheetView workbookViewId="0">
      <selection activeCell="J11" sqref="J11"/>
    </sheetView>
  </sheetViews>
  <sheetFormatPr defaultRowHeight="13.5"/>
  <cols>
    <col min="1" max="1" width="10.625" customWidth="1"/>
    <col min="2" max="2" width="14.625" customWidth="1"/>
    <col min="3" max="3" width="16.375" bestFit="1" customWidth="1"/>
    <col min="4" max="4" width="22.75" customWidth="1"/>
    <col min="5" max="5" width="14.75" customWidth="1"/>
  </cols>
  <sheetData>
    <row r="1" spans="1:11">
      <c r="A1" t="s">
        <v>16</v>
      </c>
      <c r="B1" t="s">
        <v>19</v>
      </c>
      <c r="C1" t="s">
        <v>25</v>
      </c>
      <c r="D1" t="s">
        <v>12</v>
      </c>
      <c r="E1" t="s">
        <v>13</v>
      </c>
      <c r="F1" t="s">
        <v>14</v>
      </c>
      <c r="G1" t="s">
        <v>15</v>
      </c>
      <c r="H1" t="s">
        <v>2283</v>
      </c>
      <c r="I1" t="s">
        <v>26</v>
      </c>
      <c r="J1" t="s">
        <v>49</v>
      </c>
      <c r="K1" t="s">
        <v>3766</v>
      </c>
    </row>
    <row r="2" spans="1:11">
      <c r="A2">
        <v>0</v>
      </c>
      <c r="B2" t="s">
        <v>3765</v>
      </c>
      <c r="C2" t="s">
        <v>3759</v>
      </c>
      <c r="D2" t="s">
        <v>3761</v>
      </c>
      <c r="E2" s="1" t="s">
        <v>3763</v>
      </c>
      <c r="F2" t="s">
        <v>3698</v>
      </c>
      <c r="G2" t="str">
        <f>C2</f>
        <v>BONPOINT</v>
      </c>
      <c r="H2" t="s">
        <v>3762</v>
      </c>
      <c r="I2">
        <v>0</v>
      </c>
      <c r="K2" t="s">
        <v>3773</v>
      </c>
    </row>
    <row r="3" spans="1:11">
      <c r="A3">
        <v>1</v>
      </c>
      <c r="B3" t="s">
        <v>22</v>
      </c>
      <c r="C3" t="s">
        <v>3756</v>
      </c>
      <c r="D3" t="s">
        <v>3758</v>
      </c>
      <c r="E3" s="1" t="s">
        <v>194</v>
      </c>
      <c r="F3" t="s">
        <v>3709</v>
      </c>
      <c r="G3" t="str">
        <f>C3</f>
        <v>CARAMEL</v>
      </c>
      <c r="H3" t="str">
        <f>SUBSTITUTE(IFERROR(VLOOKUP(C3,[1]list!$A:$W,23,FALSE),""),"0","")</f>
        <v>18SS</v>
      </c>
      <c r="I3">
        <v>1</v>
      </c>
      <c r="J3" t="s">
        <v>48</v>
      </c>
      <c r="K3" t="s">
        <v>3774</v>
      </c>
    </row>
    <row r="4" spans="1:11">
      <c r="A4">
        <v>2</v>
      </c>
      <c r="B4" t="s">
        <v>24</v>
      </c>
      <c r="C4" t="s">
        <v>3692</v>
      </c>
      <c r="D4" t="s">
        <v>3758</v>
      </c>
      <c r="E4" s="1" t="s">
        <v>3764</v>
      </c>
      <c r="F4" t="s">
        <v>3714</v>
      </c>
      <c r="G4" t="str">
        <f>C4</f>
        <v>HELEN KAMINSKI</v>
      </c>
      <c r="H4" t="str">
        <f>SUBSTITUTE(IFERROR(VLOOKUP(C4,[1]list!$A:$W,23,FALSE),""),"0","")</f>
        <v>18SS</v>
      </c>
      <c r="I4">
        <v>2</v>
      </c>
      <c r="K4" t="s">
        <v>3774</v>
      </c>
    </row>
    <row r="5" spans="1:11">
      <c r="H5" t="str">
        <f>SUBSTITUTE(IFERROR(VLOOKUP(#REF!,[1]list!$A:$W,23,FALSE),""),"0","")</f>
        <v/>
      </c>
    </row>
    <row r="6" spans="1:11">
      <c r="H6" t="str">
        <f>SUBSTITUTE(IFERROR(VLOOKUP(#REF!,[1]list!$A:$W,23,FALSE),""),"0","")</f>
        <v/>
      </c>
    </row>
    <row r="7" spans="1:11">
      <c r="H7" t="str">
        <f>SUBSTITUTE(IFERROR(VLOOKUP(#REF!,[1]list!$A:$W,23,FALSE),""),"0","")</f>
        <v/>
      </c>
    </row>
  </sheetData>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7"/>
  <sheetViews>
    <sheetView workbookViewId="0">
      <selection activeCell="F3" sqref="F3"/>
    </sheetView>
  </sheetViews>
  <sheetFormatPr defaultRowHeight="13.5"/>
  <cols>
    <col min="1" max="3" width="10.625" customWidth="1"/>
    <col min="4" max="4" width="18.25" customWidth="1"/>
  </cols>
  <sheetData>
    <row r="1" spans="1:7">
      <c r="A1" t="s">
        <v>16</v>
      </c>
      <c r="B1" t="s">
        <v>10</v>
      </c>
      <c r="C1" t="s">
        <v>11</v>
      </c>
      <c r="D1" t="s">
        <v>12</v>
      </c>
      <c r="E1" t="s">
        <v>13</v>
      </c>
      <c r="F1" t="s">
        <v>14</v>
      </c>
      <c r="G1" t="s">
        <v>15</v>
      </c>
    </row>
    <row r="2" spans="1:7">
      <c r="A2">
        <v>0</v>
      </c>
      <c r="B2" t="s">
        <v>3673</v>
      </c>
      <c r="C2" t="s">
        <v>3681</v>
      </c>
      <c r="D2" t="s">
        <v>3683</v>
      </c>
      <c r="E2">
        <v>180209</v>
      </c>
      <c r="F2" t="s">
        <v>3698</v>
      </c>
      <c r="G2" t="s">
        <v>3700</v>
      </c>
    </row>
    <row r="3" spans="1:7">
      <c r="A3">
        <v>1</v>
      </c>
      <c r="B3" t="s">
        <v>3673</v>
      </c>
      <c r="C3" t="s">
        <v>3679</v>
      </c>
      <c r="D3" t="s">
        <v>3701</v>
      </c>
      <c r="E3">
        <v>180205</v>
      </c>
      <c r="F3" t="s">
        <v>3714</v>
      </c>
      <c r="G3" t="s">
        <v>3702</v>
      </c>
    </row>
    <row r="4" spans="1:7">
      <c r="A4">
        <v>2</v>
      </c>
      <c r="B4" t="s">
        <v>3672</v>
      </c>
      <c r="C4" t="s">
        <v>3676</v>
      </c>
      <c r="D4" t="s">
        <v>3703</v>
      </c>
      <c r="E4">
        <v>180201</v>
      </c>
      <c r="F4" t="s">
        <v>3716</v>
      </c>
      <c r="G4" t="s">
        <v>3704</v>
      </c>
    </row>
    <row r="5" spans="1:7">
      <c r="A5">
        <v>3</v>
      </c>
      <c r="B5" t="s">
        <v>3673</v>
      </c>
      <c r="C5" t="s">
        <v>3670</v>
      </c>
      <c r="D5" t="s">
        <v>3705</v>
      </c>
      <c r="E5">
        <v>180131</v>
      </c>
      <c r="F5" t="s">
        <v>3713</v>
      </c>
      <c r="G5" t="s">
        <v>3706</v>
      </c>
    </row>
    <row r="6" spans="1:7">
      <c r="A6">
        <v>4</v>
      </c>
      <c r="B6" t="s">
        <v>0</v>
      </c>
      <c r="C6" t="s">
        <v>3667</v>
      </c>
      <c r="D6" t="s">
        <v>3665</v>
      </c>
      <c r="E6">
        <v>180129</v>
      </c>
      <c r="F6" t="s">
        <v>3709</v>
      </c>
      <c r="G6" t="s">
        <v>3707</v>
      </c>
    </row>
    <row r="7" spans="1:7">
      <c r="A7">
        <v>5</v>
      </c>
      <c r="B7" t="s">
        <v>0</v>
      </c>
      <c r="C7" t="s">
        <v>3661</v>
      </c>
      <c r="D7" t="s">
        <v>3663</v>
      </c>
      <c r="E7">
        <v>180124</v>
      </c>
      <c r="F7" t="s">
        <v>3711</v>
      </c>
      <c r="G7" t="s">
        <v>3708</v>
      </c>
    </row>
  </sheetData>
  <phoneticPr fontId="1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3"/>
  <sheetViews>
    <sheetView workbookViewId="0">
      <selection activeCell="G1" sqref="G1:I1048576"/>
    </sheetView>
  </sheetViews>
  <sheetFormatPr defaultRowHeight="13.5"/>
  <cols>
    <col min="1" max="2" width="10.625" customWidth="1"/>
    <col min="3" max="3" width="27.75" bestFit="1" customWidth="1"/>
  </cols>
  <sheetData>
    <row r="1" spans="1:6">
      <c r="A1" t="s">
        <v>16</v>
      </c>
      <c r="B1" t="s">
        <v>11</v>
      </c>
      <c r="C1" t="s">
        <v>12</v>
      </c>
      <c r="D1" t="s">
        <v>13</v>
      </c>
      <c r="E1" t="s">
        <v>14</v>
      </c>
      <c r="F1" t="s">
        <v>15</v>
      </c>
    </row>
    <row r="2" spans="1:6">
      <c r="A2">
        <v>0</v>
      </c>
      <c r="B2" t="s">
        <v>3694</v>
      </c>
      <c r="C2" t="s">
        <v>3687</v>
      </c>
      <c r="D2" s="1" t="s">
        <v>3695</v>
      </c>
      <c r="E2" t="s">
        <v>3698</v>
      </c>
    </row>
    <row r="3" spans="1:6">
      <c r="A3">
        <v>1</v>
      </c>
      <c r="B3" t="s">
        <v>3667</v>
      </c>
      <c r="C3" t="s">
        <v>3685</v>
      </c>
      <c r="D3" s="1" t="s">
        <v>3696</v>
      </c>
      <c r="E3" t="s">
        <v>3699</v>
      </c>
    </row>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7"/>
  <sheetViews>
    <sheetView workbookViewId="0">
      <selection activeCell="G3" sqref="G3"/>
    </sheetView>
  </sheetViews>
  <sheetFormatPr defaultRowHeight="13.5"/>
  <cols>
    <col min="2" max="2" width="12.375" bestFit="1" customWidth="1"/>
    <col min="3" max="3" width="19.25" customWidth="1"/>
    <col min="6" max="6" width="29.125" customWidth="1"/>
    <col min="7" max="7" width="13.5" bestFit="1" customWidth="1"/>
  </cols>
  <sheetData>
    <row r="1" spans="1:9">
      <c r="A1" t="s">
        <v>16</v>
      </c>
      <c r="B1" t="s">
        <v>9</v>
      </c>
      <c r="C1" t="s">
        <v>1913</v>
      </c>
      <c r="D1" t="s">
        <v>1912</v>
      </c>
      <c r="E1" t="s">
        <v>17</v>
      </c>
      <c r="F1" t="s">
        <v>14</v>
      </c>
      <c r="G1" t="s">
        <v>13</v>
      </c>
      <c r="H1" t="s">
        <v>15</v>
      </c>
      <c r="I1" t="s">
        <v>2283</v>
      </c>
    </row>
    <row r="2" spans="1:9">
      <c r="A2">
        <v>0</v>
      </c>
      <c r="B2" t="s">
        <v>3688</v>
      </c>
      <c r="C2" t="str">
        <f>IFERROR(VLOOKUP(B2,[1]list!$A:$B,2,FALSE),"")</f>
        <v>ボンポワン</v>
      </c>
      <c r="D2" t="str">
        <f>IFERROR(VLOOKUP(B2,[1]list!$A:$Z,26,FALSE),"")</f>
        <v>世界中から愛されているパリの老舗ブランド、ボンポワン</v>
      </c>
      <c r="G2" s="1" t="s">
        <v>187</v>
      </c>
      <c r="H2" t="str">
        <f t="shared" ref="H2:H7" si="0">A2&amp;" "&amp;B2</f>
        <v>0 BONPOINT</v>
      </c>
      <c r="I2" s="4" t="s">
        <v>2670</v>
      </c>
    </row>
    <row r="3" spans="1:9">
      <c r="A3">
        <v>1</v>
      </c>
      <c r="B3" t="s">
        <v>3689</v>
      </c>
      <c r="C3" t="str">
        <f>IFERROR(VLOOKUP(B3,[1]list!$A:$B,2,FALSE),"")</f>
        <v>キャラメル</v>
      </c>
      <c r="D3" t="str">
        <f>IFERROR(VLOOKUP(B3,[1]list!$A:$Z,26,FALSE),"")</f>
        <v>英国の人気子供服ブランド、キャラメル</v>
      </c>
      <c r="G3" s="1" t="s">
        <v>194</v>
      </c>
      <c r="H3" t="str">
        <f t="shared" si="0"/>
        <v>1 CARAMEL</v>
      </c>
      <c r="I3" t="str">
        <f>SUBSTITUTE(IFERROR(VLOOKUP(B3,[1]list!$A:$W,23,FALSE),""),"0","")</f>
        <v>18SS</v>
      </c>
    </row>
    <row r="4" spans="1:9">
      <c r="A4">
        <v>2</v>
      </c>
      <c r="B4" t="s">
        <v>3690</v>
      </c>
      <c r="C4" t="str">
        <f>IFERROR(VLOOKUP(B4,[1]list!$A:$B,2,FALSE),"")</f>
        <v>センガー</v>
      </c>
      <c r="D4" t="str">
        <f>IFERROR(VLOOKUP(B4,[1]list!$A:$Z,26,FALSE),"")</f>
        <v>オーガニック素材のSENGERのぬいぐるみは贈り物にも人気の定番アイテム</v>
      </c>
      <c r="G4" s="1" t="s">
        <v>3365</v>
      </c>
      <c r="H4" t="str">
        <f t="shared" si="0"/>
        <v>2 SENGER</v>
      </c>
      <c r="I4" t="str">
        <f>SUBSTITUTE(IFERROR(VLOOKUP(B4,[1]list!$A:$W,23,FALSE),""),"0","")</f>
        <v/>
      </c>
    </row>
    <row r="5" spans="1:9">
      <c r="A5">
        <v>3</v>
      </c>
      <c r="B5" t="s">
        <v>3691</v>
      </c>
      <c r="C5" t="str">
        <f>IFERROR(VLOOKUP(B5,[1]list!$A:$B,2,FALSE),"")</f>
        <v>ポルダー</v>
      </c>
      <c r="D5" t="str">
        <f>IFERROR(VLOOKUP(B5,[1]list!$A:$Z,26,FALSE),"")</f>
        <v>フレンチシックで洗練されたデザインが人気</v>
      </c>
      <c r="G5" s="1" t="s">
        <v>295</v>
      </c>
      <c r="H5" t="str">
        <f t="shared" si="0"/>
        <v>3 POLDER</v>
      </c>
      <c r="I5" t="str">
        <f>SUBSTITUTE(IFERROR(VLOOKUP(B5,[1]list!$A:$W,23,FALSE),""),"0","")</f>
        <v/>
      </c>
    </row>
    <row r="6" spans="1:9">
      <c r="A6">
        <v>4</v>
      </c>
      <c r="B6" t="s">
        <v>3692</v>
      </c>
      <c r="C6" t="str">
        <f>IFERROR(VLOOKUP(B6,[1]list!$A:$B,2,FALSE),"")</f>
        <v>ヘレンカミンスキー</v>
      </c>
      <c r="D6" t="str">
        <f>IFERROR(VLOOKUP(B6,[1]list!$A:$Z,26,FALSE),"")</f>
        <v>高いデザイン性、丸めてもOKなラフィアハットが人気のヘレンカミンスキー</v>
      </c>
      <c r="G6" s="1" t="s">
        <v>3764</v>
      </c>
      <c r="H6" t="str">
        <f t="shared" si="0"/>
        <v>4 HELEN KAMINSKI</v>
      </c>
      <c r="I6" t="str">
        <f>SUBSTITUTE(IFERROR(VLOOKUP(B6,[1]list!$A:$W,23,FALSE),""),"0","")</f>
        <v>18SS</v>
      </c>
    </row>
    <row r="7" spans="1:9">
      <c r="A7">
        <v>5</v>
      </c>
      <c r="B7" t="s">
        <v>3693</v>
      </c>
      <c r="C7" t="str">
        <f>IFERROR(VLOOKUP(B7,[1]list!$A:$B,2,FALSE),"")</f>
        <v>ヒュプシュ</v>
      </c>
      <c r="D7" t="str">
        <f>IFERROR(VLOOKUP(B7,[1]list!$A:$Z,26,FALSE),"")</f>
        <v>スタイリッシュな北欧のインテリアブランド「ヒュプシュ」</v>
      </c>
      <c r="G7" s="1" t="s">
        <v>3343</v>
      </c>
      <c r="H7" t="str">
        <f t="shared" si="0"/>
        <v>5 HUBSCH</v>
      </c>
      <c r="I7" t="str">
        <f>SUBSTITUTE(IFERROR(VLOOKUP(B7,[1]list!$A:$W,23,FALSE),""),"0","")</f>
        <v/>
      </c>
    </row>
  </sheetData>
  <phoneticPr fontId="1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3"/>
  <sheetViews>
    <sheetView workbookViewId="0">
      <selection activeCell="G42" sqref="G42"/>
    </sheetView>
  </sheetViews>
  <sheetFormatPr defaultRowHeight="13.5"/>
  <cols>
    <col min="1" max="2" width="10.625" customWidth="1"/>
  </cols>
  <sheetData>
    <row r="1" spans="1:6">
      <c r="A1" t="s">
        <v>16</v>
      </c>
      <c r="B1" t="s">
        <v>11</v>
      </c>
      <c r="C1" t="s">
        <v>12</v>
      </c>
      <c r="D1" t="s">
        <v>13</v>
      </c>
      <c r="E1" t="s">
        <v>14</v>
      </c>
      <c r="F1" t="s">
        <v>15</v>
      </c>
    </row>
    <row r="2" spans="1:6">
      <c r="A2">
        <v>0</v>
      </c>
      <c r="B2" t="s">
        <v>1</v>
      </c>
      <c r="C2" t="s">
        <v>2</v>
      </c>
      <c r="D2" s="1" t="s">
        <v>50</v>
      </c>
    </row>
    <row r="3" spans="1:6">
      <c r="A3">
        <v>1</v>
      </c>
      <c r="B3" t="s">
        <v>1</v>
      </c>
      <c r="C3" t="s">
        <v>2</v>
      </c>
      <c r="D3" s="1" t="s">
        <v>50</v>
      </c>
    </row>
  </sheetData>
  <phoneticPr fontId="18"/>
  <hyperlinks>
    <hyperlink ref="D2" r:id="rId1"/>
    <hyperlink ref="D3" r:id="rId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C000"/>
  </sheetPr>
  <dimension ref="A1:I2"/>
  <sheetViews>
    <sheetView tabSelected="1" workbookViewId="0">
      <selection activeCell="E41" sqref="E41"/>
    </sheetView>
  </sheetViews>
  <sheetFormatPr defaultRowHeight="13.5"/>
  <cols>
    <col min="2" max="2" width="21.75" bestFit="1" customWidth="1"/>
    <col min="3" max="3" width="12.875" customWidth="1"/>
    <col min="4" max="4" width="20.5" bestFit="1" customWidth="1"/>
    <col min="5" max="5" width="10" customWidth="1"/>
    <col min="6" max="6" width="27.375" bestFit="1" customWidth="1"/>
    <col min="7" max="7" width="16.875" bestFit="1" customWidth="1"/>
    <col min="8" max="8" width="22.5" bestFit="1" customWidth="1"/>
    <col min="9" max="9" width="11.125" bestFit="1" customWidth="1"/>
  </cols>
  <sheetData>
    <row r="1" spans="1:9">
      <c r="A1" t="s">
        <v>1906</v>
      </c>
      <c r="B1" t="s">
        <v>2282</v>
      </c>
      <c r="C1" t="s">
        <v>1934</v>
      </c>
      <c r="D1" t="s">
        <v>3094</v>
      </c>
      <c r="E1" t="s">
        <v>11</v>
      </c>
      <c r="F1" t="s">
        <v>1905</v>
      </c>
      <c r="G1" t="s">
        <v>1904</v>
      </c>
      <c r="H1" t="s">
        <v>1903</v>
      </c>
      <c r="I1" t="s">
        <v>3102</v>
      </c>
    </row>
    <row r="2" spans="1:9">
      <c r="A2">
        <v>0</v>
      </c>
      <c r="B2" t="s">
        <v>3776</v>
      </c>
      <c r="C2" t="str">
        <f>IFERROR(VLOOKUP(B2,[1]list!$A:$B,2,FALSE),"")</f>
        <v/>
      </c>
      <c r="D2" t="s">
        <v>2668</v>
      </c>
      <c r="F2" t="str">
        <f>ref!$B$4&amp;ref!$B$5&amp;G2&amp;ref!$B$7</f>
        <v>/fs/lilietnene/c/bonpoint18ss-b18ss</v>
      </c>
      <c r="G2" s="1" t="s">
        <v>3530</v>
      </c>
      <c r="H2" t="str">
        <f>B2&amp;" "&amp;C2</f>
        <v xml:space="preserve">BONPOINT 18SS </v>
      </c>
      <c r="I2" t="s">
        <v>3243</v>
      </c>
    </row>
  </sheetData>
  <phoneticPr fontId="18"/>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I2"/>
  <sheetViews>
    <sheetView workbookViewId="0">
      <selection activeCell="B15" sqref="B15"/>
    </sheetView>
  </sheetViews>
  <sheetFormatPr defaultRowHeight="13.5"/>
  <cols>
    <col min="2" max="2" width="21.75" bestFit="1" customWidth="1"/>
    <col min="3" max="3" width="12.875" customWidth="1"/>
    <col min="4" max="4" width="15.125" bestFit="1" customWidth="1"/>
    <col min="5" max="5" width="10" customWidth="1"/>
    <col min="6" max="6" width="27.375" bestFit="1" customWidth="1"/>
    <col min="7" max="7" width="14.25" bestFit="1" customWidth="1"/>
  </cols>
  <sheetData>
    <row r="1" spans="1:9">
      <c r="A1" t="s">
        <v>1906</v>
      </c>
      <c r="B1" t="s">
        <v>2282</v>
      </c>
      <c r="C1" t="s">
        <v>1934</v>
      </c>
      <c r="D1" t="s">
        <v>25</v>
      </c>
      <c r="E1" t="s">
        <v>11</v>
      </c>
      <c r="F1" t="s">
        <v>1905</v>
      </c>
      <c r="G1" t="s">
        <v>1904</v>
      </c>
      <c r="H1" t="s">
        <v>1903</v>
      </c>
      <c r="I1" t="s">
        <v>3095</v>
      </c>
    </row>
    <row r="2" spans="1:9">
      <c r="A2">
        <v>0</v>
      </c>
      <c r="B2" t="s">
        <v>3776</v>
      </c>
      <c r="C2" t="str">
        <f>IFERROR(VLOOKUP(B2,[1]list!$A:$B,2,FALSE),"")</f>
        <v/>
      </c>
      <c r="D2" t="s">
        <v>2668</v>
      </c>
      <c r="F2" t="str">
        <f>ref!$B$4&amp;ref!$B$5&amp;G2&amp;ref!$B$7</f>
        <v>/fs/lilietnene/c/bonpoint18ss-k18ss</v>
      </c>
      <c r="G2" s="1" t="s">
        <v>3532</v>
      </c>
      <c r="H2" t="str">
        <f>B2&amp;" "&amp;C2</f>
        <v xml:space="preserve">BONPOINT 18SS </v>
      </c>
      <c r="I2" t="s">
        <v>3097</v>
      </c>
    </row>
  </sheetData>
  <phoneticPr fontId="1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C000"/>
  </sheetPr>
  <dimension ref="A1:I2"/>
  <sheetViews>
    <sheetView workbookViewId="0">
      <selection activeCell="G39" sqref="G39"/>
    </sheetView>
  </sheetViews>
  <sheetFormatPr defaultRowHeight="13.5"/>
  <cols>
    <col min="2" max="2" width="10" bestFit="1" customWidth="1"/>
    <col min="3" max="3" width="12.875" customWidth="1"/>
    <col min="4" max="4" width="15.125" bestFit="1" customWidth="1"/>
    <col min="5" max="5" width="10" customWidth="1"/>
    <col min="6" max="6" width="32" bestFit="1" customWidth="1"/>
    <col min="7" max="7" width="16.875" bestFit="1" customWidth="1"/>
  </cols>
  <sheetData>
    <row r="1" spans="1:9">
      <c r="A1" t="s">
        <v>1906</v>
      </c>
      <c r="B1" t="s">
        <v>2282</v>
      </c>
      <c r="C1" t="s">
        <v>1934</v>
      </c>
      <c r="D1" t="s">
        <v>25</v>
      </c>
      <c r="E1" t="s">
        <v>11</v>
      </c>
      <c r="F1" t="s">
        <v>1905</v>
      </c>
      <c r="G1" t="s">
        <v>1904</v>
      </c>
      <c r="H1" t="s">
        <v>1903</v>
      </c>
      <c r="I1" t="s">
        <v>3095</v>
      </c>
    </row>
    <row r="2" spans="1:9">
      <c r="A2">
        <v>0</v>
      </c>
      <c r="B2" t="s">
        <v>3606</v>
      </c>
      <c r="C2" t="str">
        <f>IFERROR(VLOOKUP(B2,[1]list!$A:$B,2,FALSE),"")</f>
        <v/>
      </c>
      <c r="D2" t="s">
        <v>2668</v>
      </c>
      <c r="E2" s="9">
        <v>43136</v>
      </c>
      <c r="F2" t="s">
        <v>3103</v>
      </c>
      <c r="G2" s="1" t="s">
        <v>3604</v>
      </c>
      <c r="H2" t="str">
        <f>B2&amp;" "&amp;C2</f>
        <v xml:space="preserve">HELEN KAMINSKI 18SS </v>
      </c>
      <c r="I2" t="s">
        <v>3243</v>
      </c>
    </row>
  </sheetData>
  <phoneticPr fontId="18"/>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15"/>
  <sheetViews>
    <sheetView workbookViewId="0">
      <selection activeCell="F12" sqref="F12"/>
    </sheetView>
  </sheetViews>
  <sheetFormatPr defaultRowHeight="13.5"/>
  <cols>
    <col min="2" max="2" width="19.25" bestFit="1" customWidth="1"/>
    <col min="3" max="3" width="19.25" customWidth="1"/>
    <col min="5" max="5" width="27.25" customWidth="1"/>
    <col min="6" max="6" width="13.375" bestFit="1" customWidth="1"/>
  </cols>
  <sheetData>
    <row r="1" spans="1:9">
      <c r="A1" t="s">
        <v>1914</v>
      </c>
      <c r="B1" t="s">
        <v>2640</v>
      </c>
      <c r="C1" t="s">
        <v>1913</v>
      </c>
      <c r="D1" t="s">
        <v>1912</v>
      </c>
      <c r="E1" t="s">
        <v>1911</v>
      </c>
      <c r="F1" t="s">
        <v>1910</v>
      </c>
      <c r="G1" t="s">
        <v>1909</v>
      </c>
      <c r="H1" t="s">
        <v>2283</v>
      </c>
      <c r="I1" t="s">
        <v>2284</v>
      </c>
    </row>
    <row r="2" spans="1:9">
      <c r="A2">
        <v>0</v>
      </c>
      <c r="B2" t="s">
        <v>55</v>
      </c>
      <c r="C2" t="str">
        <f>IFERROR(VLOOKUP(B2,[1]list!$A:$B,2,FALSE),"")</f>
        <v>キャラメル</v>
      </c>
      <c r="D2" t="str">
        <f>IFERROR(VLOOKUP(B2,[1]list!$A:$Z,26,FALSE),"")</f>
        <v>英国の人気子供服ブランド、キャラメル</v>
      </c>
      <c r="E2" t="s">
        <v>423</v>
      </c>
      <c r="F2" s="11" t="s">
        <v>194</v>
      </c>
      <c r="G2" t="str">
        <f t="shared" ref="G2:G15" si="0">B2&amp;" "&amp;C2</f>
        <v>CARAMEL キャラメル</v>
      </c>
      <c r="H2" t="str">
        <f>SUBSTITUTE(IFERROR(VLOOKUP(B2,[1]list!$A:$W,23,FALSE),""),"0","")</f>
        <v>18SS</v>
      </c>
      <c r="I2" t="str">
        <f>IFERROR(VLOOKUP(B2,[1]list!$A:$AA,27,FALSE),"")</f>
        <v>1001003</v>
      </c>
    </row>
    <row r="3" spans="1:9">
      <c r="A3">
        <v>1</v>
      </c>
      <c r="B3" t="s">
        <v>54</v>
      </c>
      <c r="C3" t="str">
        <f>IFERROR(VLOOKUP(B3,[1]list!$A:$B,2,FALSE),"")</f>
        <v>ボントン</v>
      </c>
      <c r="D3" t="str">
        <f>IFERROR(VLOOKUP(B3,[1]list!$A:$Z,26,FALSE),"")</f>
        <v>パリで一番元気な子供服ブランド、ボントン</v>
      </c>
      <c r="E3" t="s">
        <v>422</v>
      </c>
      <c r="F3" s="12" t="s">
        <v>191</v>
      </c>
      <c r="G3" t="str">
        <f t="shared" si="0"/>
        <v>BONTON ボントン</v>
      </c>
      <c r="H3" t="str">
        <f>SUBSTITUTE(IFERROR(VLOOKUP(B3,[1]list!$A:$W,23,FALSE),""),"0","")</f>
        <v/>
      </c>
      <c r="I3" t="str">
        <f>IFERROR(VLOOKUP(B3,[1]list!$A:$AA,27,FALSE),"")</f>
        <v>1001001</v>
      </c>
    </row>
    <row r="4" spans="1:9">
      <c r="A4">
        <v>2</v>
      </c>
      <c r="B4" t="s">
        <v>53</v>
      </c>
      <c r="C4" t="str">
        <f>IFERROR(VLOOKUP(B4,[1]list!$A:$B,2,FALSE),"")</f>
        <v>ボンポワン</v>
      </c>
      <c r="D4" t="str">
        <f>IFERROR(VLOOKUP(B4,[1]list!$A:$Z,26,FALSE),"")</f>
        <v>世界中から愛されているパリの老舗ブランド、ボンポワン</v>
      </c>
      <c r="E4" t="s">
        <v>421</v>
      </c>
      <c r="F4" s="12" t="s">
        <v>187</v>
      </c>
      <c r="G4" t="str">
        <f t="shared" si="0"/>
        <v>BONPOINT ボンポワン</v>
      </c>
      <c r="H4" t="str">
        <f>SUBSTITUTE(IFERROR(VLOOKUP(B4,[1]list!$A:$W,23,FALSE),""),"0","")</f>
        <v/>
      </c>
      <c r="I4" t="str">
        <f>IFERROR(VLOOKUP(B4,[1]list!$A:$AA,27,FALSE),"")</f>
        <v>1001002</v>
      </c>
    </row>
    <row r="5" spans="1:9">
      <c r="A5">
        <v>3</v>
      </c>
      <c r="B5" t="s">
        <v>57</v>
      </c>
      <c r="C5" t="str">
        <f>IFERROR(VLOOKUP(B5,[1]list!$A:$B,2,FALSE),"")</f>
        <v>クプリオ</v>
      </c>
      <c r="D5" t="str">
        <f>IFERROR(VLOOKUP(B5,[1]list!$A:$Z,26,FALSE),"")</f>
        <v>オーガニックコットンを使ったシンプルでスタイリッシュなクプリオ</v>
      </c>
      <c r="E5" t="s">
        <v>425</v>
      </c>
      <c r="F5" s="11" t="s">
        <v>3544</v>
      </c>
      <c r="G5" t="str">
        <f t="shared" si="0"/>
        <v>COUPRIO クプリオ</v>
      </c>
      <c r="H5" t="str">
        <f>SUBSTITUTE(IFERROR(VLOOKUP(B5,[1]list!$A:$W,23,FALSE),""),"0","")</f>
        <v/>
      </c>
      <c r="I5" t="str">
        <f>IFERROR(VLOOKUP(B5,[1]list!$A:$AA,27,FALSE),"")</f>
        <v>1001004</v>
      </c>
    </row>
    <row r="6" spans="1:9">
      <c r="A6">
        <v>4</v>
      </c>
      <c r="B6" t="s">
        <v>62</v>
      </c>
      <c r="C6" t="str">
        <f>IFERROR(VLOOKUP(B6,[1]list!$A:$B,2,FALSE),"")</f>
        <v>マキエ</v>
      </c>
      <c r="D6" t="str">
        <f>IFERROR(VLOOKUP(B6,[1]list!$A:$Z,26,FALSE),"")</f>
        <v>NYとヨーロッパのイメージをMIXした雰囲気が人気のマキエ</v>
      </c>
      <c r="E6" t="s">
        <v>430</v>
      </c>
      <c r="F6" s="12" t="s">
        <v>3542</v>
      </c>
      <c r="G6" t="str">
        <f t="shared" si="0"/>
        <v>MAKIE マキエ</v>
      </c>
      <c r="H6" t="str">
        <f>SUBSTITUTE(IFERROR(VLOOKUP(B6,[1]list!$A:$W,23,FALSE),""),"0","")</f>
        <v/>
      </c>
      <c r="I6" t="str">
        <f>IFERROR(VLOOKUP(B6,[1]list!$A:$AA,27,FALSE),"")</f>
        <v>1001005</v>
      </c>
    </row>
    <row r="7" spans="1:9">
      <c r="A7">
        <v>5</v>
      </c>
      <c r="B7" t="s">
        <v>64</v>
      </c>
      <c r="C7" t="str">
        <f>IFERROR(VLOOKUP(B7,[1]list!$A:$B,2,FALSE),"")</f>
        <v>ペペ</v>
      </c>
      <c r="D7" t="str">
        <f>IFERROR(VLOOKUP(B7,[1]list!$A:$Z,26,FALSE),"")</f>
        <v>ベビーからレディースまで揃うイタリアの老舗シューズブランド、ペペ</v>
      </c>
      <c r="E7" t="s">
        <v>432</v>
      </c>
      <c r="F7" s="12" t="s">
        <v>3534</v>
      </c>
      <c r="G7" t="str">
        <f t="shared" si="0"/>
        <v>PEPE ペペ</v>
      </c>
      <c r="H7" t="str">
        <f>SUBSTITUTE(IFERROR(VLOOKUP(B7,[1]list!$A:$W,23,FALSE),""),"0","")</f>
        <v/>
      </c>
      <c r="I7" t="str">
        <f>IFERROR(VLOOKUP(B7,[1]list!$A:$AA,27,FALSE),"")</f>
        <v>1002011</v>
      </c>
    </row>
    <row r="8" spans="1:9">
      <c r="A8">
        <v>6</v>
      </c>
      <c r="B8" t="s">
        <v>65</v>
      </c>
      <c r="C8" t="str">
        <f>IFERROR(VLOOKUP(B8,[1]list!$A:$B,2,FALSE),"")</f>
        <v>プチバトー</v>
      </c>
      <c r="D8" t="str">
        <f>IFERROR(VLOOKUP(B8,[1]list!$A:$Z,26,FALSE),"")</f>
        <v>あらゆる世代に受け入れられているフランスの国民的ブランド、プチバトー</v>
      </c>
      <c r="E8" t="s">
        <v>433</v>
      </c>
      <c r="F8" s="12" t="s">
        <v>3540</v>
      </c>
      <c r="G8" t="str">
        <f t="shared" si="0"/>
        <v>PETIT BATEAU プチバトー</v>
      </c>
      <c r="H8" t="str">
        <f>SUBSTITUTE(IFERROR(VLOOKUP(B8,[1]list!$A:$W,23,FALSE),""),"0","")</f>
        <v/>
      </c>
      <c r="I8" t="str">
        <f>IFERROR(VLOOKUP(B8,[1]list!$A:$AA,27,FALSE),"")</f>
        <v>1002012</v>
      </c>
    </row>
    <row r="9" spans="1:9">
      <c r="A9">
        <v>7</v>
      </c>
      <c r="B9" t="s">
        <v>61</v>
      </c>
      <c r="C9" t="str">
        <f>IFERROR(VLOOKUP(B9,[1]list!$A:$B,2,FALSE),"")</f>
        <v>ケティケタ</v>
      </c>
      <c r="D9" t="str">
        <f>IFERROR(VLOOKUP(B9,[1]list!$A:$Z,26,FALSE),"")</f>
        <v>ミックスカルチャーからインスパイアされたデザインが魅力のケティケタ</v>
      </c>
      <c r="E9" t="s">
        <v>429</v>
      </c>
      <c r="F9" s="12" t="s">
        <v>220</v>
      </c>
      <c r="G9" t="str">
        <f t="shared" si="0"/>
        <v>KETIKETA ケティケタ</v>
      </c>
      <c r="H9" t="str">
        <f>SUBSTITUTE(IFERROR(VLOOKUP(B9,[1]list!$A:$W,23,FALSE),""),"0","")</f>
        <v/>
      </c>
      <c r="I9" t="str">
        <f>IFERROR(VLOOKUP(B9,[1]list!$A:$AA,27,FALSE),"")</f>
        <v>1002016</v>
      </c>
    </row>
    <row r="10" spans="1:9">
      <c r="A10">
        <v>8</v>
      </c>
      <c r="B10" t="s">
        <v>58</v>
      </c>
      <c r="C10" t="str">
        <f>IFERROR(VLOOKUP(B10,[1]list!$A:$B,2,FALSE),"")</f>
        <v>エミールエイダ</v>
      </c>
      <c r="D10" t="str">
        <f>IFERROR(VLOOKUP(B10,[1]list!$A:$Z,26,FALSE),"")</f>
        <v>パリのエスプリの効いたデザインが人気のエミール エ イダ</v>
      </c>
      <c r="E10" t="s">
        <v>426</v>
      </c>
      <c r="F10" s="12" t="s">
        <v>206</v>
      </c>
      <c r="G10" t="str">
        <f t="shared" si="0"/>
        <v>EMILE ET IDA エミールエイダ</v>
      </c>
      <c r="H10" t="str">
        <f>SUBSTITUTE(IFERROR(VLOOKUP(B10,[1]list!$A:$W,23,FALSE),""),"0","")</f>
        <v/>
      </c>
      <c r="I10" t="str">
        <f>IFERROR(VLOOKUP(B10,[1]list!$A:$AA,27,FALSE),"")</f>
        <v>1002017</v>
      </c>
    </row>
    <row r="11" spans="1:9">
      <c r="A11">
        <v>9</v>
      </c>
      <c r="B11" t="s">
        <v>59</v>
      </c>
      <c r="C11" t="str">
        <f>IFERROR(VLOOKUP(B11,[1]list!$A:$B,2,FALSE),"")</f>
        <v>ゴールド</v>
      </c>
      <c r="D11" t="str">
        <f>IFERROR(VLOOKUP(B11,[1]list!$A:$Z,26,FALSE),"")</f>
        <v>プリントや素材使いでベーシックなデザインを洗練させた、ゴールド</v>
      </c>
      <c r="E11" t="s">
        <v>427</v>
      </c>
      <c r="F11" s="12" t="s">
        <v>211</v>
      </c>
      <c r="G11" t="str">
        <f t="shared" si="0"/>
        <v>GOLD ゴールド</v>
      </c>
      <c r="H11" t="str">
        <f>SUBSTITUTE(IFERROR(VLOOKUP(B11,[1]list!$A:$W,23,FALSE),""),"0","")</f>
        <v/>
      </c>
      <c r="I11" t="str">
        <f>IFERROR(VLOOKUP(B11,[1]list!$A:$AA,27,FALSE),"")</f>
        <v>1003022</v>
      </c>
    </row>
    <row r="12" spans="1:9">
      <c r="A12">
        <v>10</v>
      </c>
      <c r="B12" t="s">
        <v>52</v>
      </c>
      <c r="C12" t="str">
        <f>IFERROR(VLOOKUP(B12,[1]list!$A:$B,2,FALSE),"")</f>
        <v>ベイブアンドテス</v>
      </c>
      <c r="D12" t="str">
        <f>IFERROR(VLOOKUP(B12,[1]list!$A:$Z,26,FALSE),"")</f>
        <v>イタリアのベビー＆キッズブランド、ベイブアンドテス</v>
      </c>
      <c r="E12" t="s">
        <v>420</v>
      </c>
      <c r="F12" s="12" t="s">
        <v>182</v>
      </c>
      <c r="G12" t="str">
        <f t="shared" si="0"/>
        <v>BABE&amp;TESS ベイブアンドテス</v>
      </c>
      <c r="H12" t="str">
        <f>SUBSTITUTE(IFERROR(VLOOKUP(B12,[1]list!$A:$W,23,FALSE),""),"0","")</f>
        <v/>
      </c>
      <c r="I12" t="str">
        <f>IFERROR(VLOOKUP(B12,[1]list!$A:$AA,27,FALSE),"")</f>
        <v>1003023</v>
      </c>
    </row>
    <row r="13" spans="1:9">
      <c r="A13">
        <v>11</v>
      </c>
      <c r="B13" t="s">
        <v>56</v>
      </c>
      <c r="C13" t="str">
        <f>IFERROR(VLOOKUP(B13,[1]list!$A:$B,2,FALSE),"")</f>
        <v>クリスティーナ・ローデ</v>
      </c>
      <c r="D13" t="str">
        <f>IFERROR(VLOOKUP(B13,[1]list!$A:$Z,26,FALSE),"")</f>
        <v>デンマーク発の老舗子供服ブランド</v>
      </c>
      <c r="E13" t="s">
        <v>424</v>
      </c>
      <c r="F13" s="11" t="s">
        <v>3543</v>
      </c>
      <c r="G13" t="str">
        <f t="shared" si="0"/>
        <v>CHRISTINA ROHDE クリスティーナ・ローデ</v>
      </c>
      <c r="H13" t="str">
        <f>SUBSTITUTE(IFERROR(VLOOKUP(B13,[1]list!$A:$W,23,FALSE),""),"0","")</f>
        <v/>
      </c>
      <c r="I13" t="str">
        <f>IFERROR(VLOOKUP(B13,[1]list!$A:$AA,27,FALSE),"")</f>
        <v>1004032</v>
      </c>
    </row>
    <row r="14" spans="1:9">
      <c r="A14">
        <v>12</v>
      </c>
      <c r="B14" t="s">
        <v>51</v>
      </c>
      <c r="C14" t="str">
        <f>IFERROR(VLOOKUP(B14,[1]list!$A:$B,2,FALSE),"")</f>
        <v>アルバム ディ　ファミリア</v>
      </c>
      <c r="D14" t="str">
        <f>IFERROR(VLOOKUP(B14,[1]list!$A:$Z,26,FALSE),"")</f>
        <v>現代的でミニマルなデザインと上質なコットンの肌触りが人気</v>
      </c>
      <c r="E14" t="s">
        <v>419</v>
      </c>
      <c r="F14" s="12" t="s">
        <v>177</v>
      </c>
      <c r="G14" t="str">
        <f t="shared" si="0"/>
        <v>ALBUM DI FAMIGLIA アルバム ディ　ファミリア</v>
      </c>
      <c r="H14" t="str">
        <f>SUBSTITUTE(IFERROR(VLOOKUP(B14,[1]list!$A:$W,23,FALSE),""),"0","")</f>
        <v/>
      </c>
      <c r="I14" t="str">
        <f>IFERROR(VLOOKUP(B14,[1]list!$A:$AA,27,FALSE),"")</f>
        <v>1004033</v>
      </c>
    </row>
    <row r="15" spans="1:9">
      <c r="A15">
        <v>13</v>
      </c>
      <c r="B15" t="s">
        <v>66</v>
      </c>
      <c r="C15" t="str">
        <f>IFERROR(VLOOKUP(B15,[1]list!$A:$B,2,FALSE),"")</f>
        <v>ゼフ</v>
      </c>
      <c r="D15" t="str">
        <f>IFERROR(VLOOKUP(B15,[1]list!$A:$Z,26,FALSE),"")</f>
        <v>フランスでは「Vogue」や「milk」などでも紹介されている人気子供服ブランド。</v>
      </c>
      <c r="E15" t="s">
        <v>434</v>
      </c>
      <c r="F15" s="12" t="s">
        <v>242</v>
      </c>
      <c r="G15" t="str">
        <f t="shared" si="0"/>
        <v>ZEF ゼフ</v>
      </c>
      <c r="H15" t="str">
        <f>SUBSTITUTE(IFERROR(VLOOKUP(B15,[1]list!$A:$W,23,FALSE),""),"0","")</f>
        <v/>
      </c>
      <c r="I15" t="str">
        <f>IFERROR(VLOOKUP(B15,[1]list!$A:$AA,27,FALSE),"")</f>
        <v>1005041</v>
      </c>
    </row>
  </sheetData>
  <sortState ref="B2:I17">
    <sortCondition descending="1" ref="H2:H17"/>
    <sortCondition ref="I2:I17"/>
    <sortCondition ref="B2:B17"/>
  </sortState>
  <phoneticPr fontId="18"/>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27"/>
  <sheetViews>
    <sheetView workbookViewId="0">
      <selection activeCell="F3" sqref="F3"/>
    </sheetView>
  </sheetViews>
  <sheetFormatPr defaultRowHeight="13.5"/>
  <cols>
    <col min="2" max="2" width="19.25" bestFit="1" customWidth="1"/>
    <col min="3" max="3" width="19.25" customWidth="1"/>
    <col min="5" max="5" width="30.375" customWidth="1"/>
    <col min="6" max="6" width="16.25" bestFit="1" customWidth="1"/>
  </cols>
  <sheetData>
    <row r="1" spans="1:9">
      <c r="A1" t="s">
        <v>1924</v>
      </c>
      <c r="B1" t="s">
        <v>9</v>
      </c>
      <c r="C1" t="s">
        <v>1923</v>
      </c>
      <c r="D1" t="s">
        <v>1922</v>
      </c>
      <c r="E1" t="s">
        <v>1921</v>
      </c>
      <c r="F1" t="s">
        <v>1920</v>
      </c>
      <c r="G1" t="s">
        <v>1919</v>
      </c>
      <c r="H1" t="s">
        <v>2283</v>
      </c>
      <c r="I1" t="s">
        <v>2284</v>
      </c>
    </row>
    <row r="2" spans="1:9">
      <c r="A2">
        <v>0</v>
      </c>
      <c r="B2" t="s">
        <v>55</v>
      </c>
      <c r="C2" t="str">
        <f>IFERROR(VLOOKUP(B2,[1]list!$A:$B,2,FALSE),"")</f>
        <v>キャラメル</v>
      </c>
      <c r="D2" t="str">
        <f>IFERROR(VLOOKUP(B2,[1]list!$A:$Z,26,FALSE),"")</f>
        <v>英国の人気子供服ブランド、キャラメル</v>
      </c>
      <c r="E2" t="s">
        <v>423</v>
      </c>
      <c r="F2" s="11" t="s">
        <v>194</v>
      </c>
      <c r="G2" t="str">
        <f t="shared" ref="G2:G27" si="0">B2&amp;" "&amp;C2</f>
        <v>CARAMEL キャラメル</v>
      </c>
      <c r="H2" t="str">
        <f>SUBSTITUTE(IFERROR(VLOOKUP(B2,[1]list!$A:$W,23,FALSE),""),"0","")</f>
        <v>18SS</v>
      </c>
      <c r="I2" t="str">
        <f>IFERROR(VLOOKUP(B2,[1]list!$A:$AA,27,FALSE),"")</f>
        <v>1001003</v>
      </c>
    </row>
    <row r="3" spans="1:9">
      <c r="A3">
        <v>1</v>
      </c>
      <c r="B3" t="s">
        <v>54</v>
      </c>
      <c r="C3" t="str">
        <f>IFERROR(VLOOKUP(B3,[1]list!$A:$B,2,FALSE),"")</f>
        <v>ボントン</v>
      </c>
      <c r="D3" t="str">
        <f>IFERROR(VLOOKUP(B3,[1]list!$A:$Z,26,FALSE),"")</f>
        <v>パリで一番元気な子供服ブランド、ボントン</v>
      </c>
      <c r="E3" t="s">
        <v>422</v>
      </c>
      <c r="F3" s="8" t="s">
        <v>191</v>
      </c>
      <c r="G3" t="str">
        <f t="shared" si="0"/>
        <v>BONTON ボントン</v>
      </c>
      <c r="H3" t="str">
        <f>SUBSTITUTE(IFERROR(VLOOKUP(B3,[1]list!$A:$W,23,FALSE),""),"0","")</f>
        <v/>
      </c>
      <c r="I3" t="str">
        <f>IFERROR(VLOOKUP(B3,[1]list!$A:$AA,27,FALSE),"")</f>
        <v>1001001</v>
      </c>
    </row>
    <row r="4" spans="1:9">
      <c r="A4">
        <v>2</v>
      </c>
      <c r="B4" t="s">
        <v>53</v>
      </c>
      <c r="C4" t="str">
        <f>IFERROR(VLOOKUP(B4,[1]list!$A:$B,2,FALSE),"")</f>
        <v>ボンポワン</v>
      </c>
      <c r="D4" t="str">
        <f>IFERROR(VLOOKUP(B4,[1]list!$A:$Z,26,FALSE),"")</f>
        <v>世界中から愛されているパリの老舗ブランド、ボンポワン</v>
      </c>
      <c r="E4" t="s">
        <v>421</v>
      </c>
      <c r="F4" s="11" t="s">
        <v>187</v>
      </c>
      <c r="G4" t="str">
        <f t="shared" si="0"/>
        <v>BONPOINT ボンポワン</v>
      </c>
      <c r="H4" t="str">
        <f>SUBSTITUTE(IFERROR(VLOOKUP(B4,[1]list!$A:$W,23,FALSE),""),"0","")</f>
        <v/>
      </c>
      <c r="I4" t="str">
        <f>IFERROR(VLOOKUP(B4,[1]list!$A:$AA,27,FALSE),"")</f>
        <v>1001002</v>
      </c>
    </row>
    <row r="5" spans="1:9">
      <c r="A5">
        <v>3</v>
      </c>
      <c r="B5" t="s">
        <v>62</v>
      </c>
      <c r="C5" t="str">
        <f>IFERROR(VLOOKUP(B5,[1]list!$A:$B,2,FALSE),"")</f>
        <v>マキエ</v>
      </c>
      <c r="D5" t="str">
        <f>IFERROR(VLOOKUP(B5,[1]list!$A:$Z,26,FALSE),"")</f>
        <v>NYとヨーロッパのイメージをMIXした雰囲気が人気のマキエ</v>
      </c>
      <c r="E5" t="s">
        <v>430</v>
      </c>
      <c r="F5" s="11" t="s">
        <v>3547</v>
      </c>
      <c r="G5" t="str">
        <f t="shared" si="0"/>
        <v>MAKIE マキエ</v>
      </c>
      <c r="H5" t="str">
        <f>SUBSTITUTE(IFERROR(VLOOKUP(B5,[1]list!$A:$W,23,FALSE),""),"0","")</f>
        <v/>
      </c>
      <c r="I5" t="str">
        <f>IFERROR(VLOOKUP(B5,[1]list!$A:$AA,27,FALSE),"")</f>
        <v>1001005</v>
      </c>
    </row>
    <row r="6" spans="1:9">
      <c r="A6">
        <v>4</v>
      </c>
      <c r="B6" t="s">
        <v>72</v>
      </c>
      <c r="C6" t="str">
        <f>IFERROR(VLOOKUP(B6,[1]list!$A:$B,2,FALSE),"")</f>
        <v>ラベンハム</v>
      </c>
      <c r="D6" t="str">
        <f>IFERROR(VLOOKUP(B6,[1]list!$A:$Z,26,FALSE),"")</f>
        <v>英国の老舗ブランド、ラベンハム</v>
      </c>
      <c r="E6" t="s">
        <v>458</v>
      </c>
      <c r="F6" s="8" t="s">
        <v>271</v>
      </c>
      <c r="G6" t="str">
        <f t="shared" si="0"/>
        <v>LAVENHAM ラベンハム</v>
      </c>
      <c r="H6" t="str">
        <f>SUBSTITUTE(IFERROR(VLOOKUP(B6,[1]list!$A:$W,23,FALSE),""),"0","")</f>
        <v/>
      </c>
      <c r="I6" t="str">
        <f>IFERROR(VLOOKUP(B6,[1]list!$A:$AA,27,FALSE),"")</f>
        <v>1001006</v>
      </c>
    </row>
    <row r="7" spans="1:9">
      <c r="A7">
        <v>5</v>
      </c>
      <c r="B7" t="s">
        <v>64</v>
      </c>
      <c r="C7" t="str">
        <f>IFERROR(VLOOKUP(B7,[1]list!$A:$B,2,FALSE),"")</f>
        <v>ペペ</v>
      </c>
      <c r="D7" t="str">
        <f>IFERROR(VLOOKUP(B7,[1]list!$A:$Z,26,FALSE),"")</f>
        <v>ベビーからレディースまで揃うイタリアの老舗シューズブランド、ペペ</v>
      </c>
      <c r="E7" t="s">
        <v>432</v>
      </c>
      <c r="F7" s="11" t="s">
        <v>3539</v>
      </c>
      <c r="G7" t="str">
        <f t="shared" si="0"/>
        <v>PEPE ペペ</v>
      </c>
      <c r="H7" t="str">
        <f>SUBSTITUTE(IFERROR(VLOOKUP(B7,[1]list!$A:$W,23,FALSE),""),"0","")</f>
        <v/>
      </c>
      <c r="I7" t="str">
        <f>IFERROR(VLOOKUP(B7,[1]list!$A:$AA,27,FALSE),"")</f>
        <v>1002011</v>
      </c>
    </row>
    <row r="8" spans="1:9">
      <c r="A8">
        <v>6</v>
      </c>
      <c r="B8" t="s">
        <v>65</v>
      </c>
      <c r="C8" t="str">
        <f>IFERROR(VLOOKUP(B8,[1]list!$A:$B,2,FALSE),"")</f>
        <v>プチバトー</v>
      </c>
      <c r="D8" t="str">
        <f>IFERROR(VLOOKUP(B8,[1]list!$A:$Z,26,FALSE),"")</f>
        <v>あらゆる世代に受け入れられているフランスの国民的ブランド、プチバトー</v>
      </c>
      <c r="E8" t="s">
        <v>433</v>
      </c>
      <c r="F8" s="11" t="s">
        <v>238</v>
      </c>
      <c r="G8" t="str">
        <f t="shared" si="0"/>
        <v>PETIT BATEAU プチバトー</v>
      </c>
      <c r="H8" t="str">
        <f>SUBSTITUTE(IFERROR(VLOOKUP(B8,[1]list!$A:$W,23,FALSE),""),"0","")</f>
        <v/>
      </c>
      <c r="I8" t="str">
        <f>IFERROR(VLOOKUP(B8,[1]list!$A:$AA,27,FALSE),"")</f>
        <v>1002012</v>
      </c>
    </row>
    <row r="9" spans="1:9">
      <c r="A9">
        <v>7</v>
      </c>
      <c r="B9" t="s">
        <v>73</v>
      </c>
      <c r="C9" t="str">
        <f>IFERROR(VLOOKUP(B9,[1]list!$A:$B,2,FALSE),"")</f>
        <v>レコヨーテドゥパリ</v>
      </c>
      <c r="D9" t="str">
        <f>IFERROR(VLOOKUP(B9,[1]list!$A:$Z,26,FALSE),"")</f>
        <v>キッズからレディースまで揃う時代に流されないタイムレスなコレクション</v>
      </c>
      <c r="E9" t="s">
        <v>459</v>
      </c>
      <c r="F9" s="11" t="s">
        <v>3598</v>
      </c>
      <c r="G9" t="str">
        <f t="shared" si="0"/>
        <v>LES COYOTES DE PARIS レコヨーテドゥパリ</v>
      </c>
      <c r="H9" t="str">
        <f>SUBSTITUTE(IFERROR(VLOOKUP(B9,[1]list!$A:$W,23,FALSE),""),"0","")</f>
        <v/>
      </c>
      <c r="I9" t="str">
        <f>IFERROR(VLOOKUP(B9,[1]list!$A:$AA,27,FALSE),"")</f>
        <v>1002013</v>
      </c>
    </row>
    <row r="10" spans="1:9">
      <c r="A10">
        <v>8</v>
      </c>
      <c r="B10" t="s">
        <v>68</v>
      </c>
      <c r="C10" t="str">
        <f>IFERROR(VLOOKUP(B10,[1]list!$A:$B,2,FALSE),"")</f>
        <v>ベルローズ</v>
      </c>
      <c r="D10" t="str">
        <f>IFERROR(VLOOKUP(B10,[1]list!$A:$Z,26,FALSE),"")</f>
        <v>カジュアルなテイストが人気のベルローズ</v>
      </c>
      <c r="E10" t="s">
        <v>454</v>
      </c>
      <c r="F10" s="12" t="s">
        <v>3535</v>
      </c>
      <c r="G10" t="str">
        <f t="shared" si="0"/>
        <v>BELLEROSE ベルローズ</v>
      </c>
      <c r="H10" t="str">
        <f>SUBSTITUTE(IFERROR(VLOOKUP(B10,[1]list!$A:$W,23,FALSE),""),"0","")</f>
        <v/>
      </c>
      <c r="I10" t="str">
        <f>IFERROR(VLOOKUP(B10,[1]list!$A:$AA,27,FALSE),"")</f>
        <v>1002014</v>
      </c>
    </row>
    <row r="11" spans="1:9">
      <c r="A11">
        <v>9</v>
      </c>
      <c r="B11" t="s">
        <v>60</v>
      </c>
      <c r="C11" t="str">
        <f>IFERROR(VLOOKUP(B11,[1]list!$A:$B,2,FALSE),"")</f>
        <v>ハートフォード</v>
      </c>
      <c r="D11" t="str">
        <f>IFERROR(VLOOKUP(B11,[1]list!$A:$Z,26,FALSE),"")</f>
        <v>パリのシンプル＆ベーシックカジュアル、ハートフォード</v>
      </c>
      <c r="E11" t="s">
        <v>428</v>
      </c>
      <c r="F11" s="12" t="s">
        <v>3537</v>
      </c>
      <c r="G11" t="str">
        <f t="shared" si="0"/>
        <v>HARTFORD ハートフォード</v>
      </c>
      <c r="H11" t="str">
        <f>SUBSTITUTE(IFERROR(VLOOKUP(B11,[1]list!$A:$W,23,FALSE),""),"0","")</f>
        <v/>
      </c>
      <c r="I11" t="str">
        <f>IFERROR(VLOOKUP(B11,[1]list!$A:$AA,27,FALSE),"")</f>
        <v>1002015</v>
      </c>
    </row>
    <row r="12" spans="1:9">
      <c r="A12">
        <v>10</v>
      </c>
      <c r="B12" t="s">
        <v>61</v>
      </c>
      <c r="C12" t="str">
        <f>IFERROR(VLOOKUP(B12,[1]list!$A:$B,2,FALSE),"")</f>
        <v>ケティケタ</v>
      </c>
      <c r="D12" t="str">
        <f>IFERROR(VLOOKUP(B12,[1]list!$A:$Z,26,FALSE),"")</f>
        <v>ミックスカルチャーからインスパイアされたデザインが魅力のケティケタ</v>
      </c>
      <c r="E12" t="s">
        <v>429</v>
      </c>
      <c r="F12" s="12" t="s">
        <v>220</v>
      </c>
      <c r="G12" t="str">
        <f t="shared" si="0"/>
        <v>KETIKETA ケティケタ</v>
      </c>
      <c r="H12" t="str">
        <f>SUBSTITUTE(IFERROR(VLOOKUP(B12,[1]list!$A:$W,23,FALSE),""),"0","")</f>
        <v/>
      </c>
      <c r="I12" t="str">
        <f>IFERROR(VLOOKUP(B12,[1]list!$A:$AA,27,FALSE),"")</f>
        <v>1002016</v>
      </c>
    </row>
    <row r="13" spans="1:9">
      <c r="A13">
        <v>11</v>
      </c>
      <c r="B13" t="s">
        <v>58</v>
      </c>
      <c r="C13" t="str">
        <f>IFERROR(VLOOKUP(B13,[1]list!$A:$B,2,FALSE),"")</f>
        <v>エミールエイダ</v>
      </c>
      <c r="D13" t="str">
        <f>IFERROR(VLOOKUP(B13,[1]list!$A:$Z,26,FALSE),"")</f>
        <v>パリのエスプリの効いたデザインが人気のエミール エ イダ</v>
      </c>
      <c r="E13" t="s">
        <v>426</v>
      </c>
      <c r="F13" s="11" t="s">
        <v>3560</v>
      </c>
      <c r="G13" t="str">
        <f t="shared" si="0"/>
        <v>EMILE ET IDA エミールエイダ</v>
      </c>
      <c r="H13" t="str">
        <f>SUBSTITUTE(IFERROR(VLOOKUP(B13,[1]list!$A:$W,23,FALSE),""),"0","")</f>
        <v/>
      </c>
      <c r="I13" t="str">
        <f>IFERROR(VLOOKUP(B13,[1]list!$A:$AA,27,FALSE),"")</f>
        <v>1002017</v>
      </c>
    </row>
    <row r="14" spans="1:9">
      <c r="A14">
        <v>12</v>
      </c>
      <c r="B14" t="s">
        <v>75</v>
      </c>
      <c r="C14" t="str">
        <f>IFERROR(VLOOKUP(B14,[1]list!$A:$B,2,FALSE),"")</f>
        <v>ナタリーバーリンデン</v>
      </c>
      <c r="D14" t="str">
        <f>IFERROR(VLOOKUP(B14,[1]list!$A:$Z,26,FALSE),"")</f>
        <v>丁寧な製法とナチュラルな素材にこだわったベルギーのシューズブランド</v>
      </c>
      <c r="E14" t="s">
        <v>461</v>
      </c>
      <c r="F14" s="11" t="s">
        <v>3561</v>
      </c>
      <c r="G14" t="str">
        <f t="shared" si="0"/>
        <v>NATHALIE VERLINDEN ナタリーバーリンデン</v>
      </c>
      <c r="H14" t="str">
        <f>SUBSTITUTE(IFERROR(VLOOKUP(B14,[1]list!$A:$W,23,FALSE),""),"0","")</f>
        <v/>
      </c>
      <c r="I14" t="str">
        <f>IFERROR(VLOOKUP(B14,[1]list!$A:$AA,27,FALSE),"")</f>
        <v>1002018</v>
      </c>
    </row>
    <row r="15" spans="1:9">
      <c r="A15">
        <v>13</v>
      </c>
      <c r="B15" t="s">
        <v>78</v>
      </c>
      <c r="C15" t="str">
        <f>IFERROR(VLOOKUP(B15,[1]list!$A:$B,2,FALSE),"")</f>
        <v>ポルダー</v>
      </c>
      <c r="D15" t="str">
        <f>IFERROR(VLOOKUP(B15,[1]list!$A:$Z,26,FALSE),"")</f>
        <v>フレンチシックで洗練されたデザインが人気</v>
      </c>
      <c r="E15" t="s">
        <v>464</v>
      </c>
      <c r="F15" s="11" t="s">
        <v>3594</v>
      </c>
      <c r="G15" t="str">
        <f t="shared" si="0"/>
        <v>POLDER ポルダー</v>
      </c>
      <c r="H15" t="str">
        <f>SUBSTITUTE(IFERROR(VLOOKUP(B15,[1]list!$A:$W,23,FALSE),""),"0","")</f>
        <v/>
      </c>
      <c r="I15" t="str">
        <f>IFERROR(VLOOKUP(B15,[1]list!$A:$AA,27,FALSE),"")</f>
        <v>1003021</v>
      </c>
    </row>
    <row r="16" spans="1:9">
      <c r="A16">
        <v>14</v>
      </c>
      <c r="B16" t="s">
        <v>59</v>
      </c>
      <c r="C16" t="str">
        <f>IFERROR(VLOOKUP(B16,[1]list!$A:$B,2,FALSE),"")</f>
        <v>ゴールド</v>
      </c>
      <c r="D16" t="str">
        <f>IFERROR(VLOOKUP(B16,[1]list!$A:$Z,26,FALSE),"")</f>
        <v>プリントや素材使いでベーシックなデザインを洗練させた、ゴールド</v>
      </c>
      <c r="E16" t="s">
        <v>427</v>
      </c>
      <c r="F16" s="11" t="s">
        <v>211</v>
      </c>
      <c r="G16" t="str">
        <f t="shared" si="0"/>
        <v>GOLD ゴールド</v>
      </c>
      <c r="H16" t="str">
        <f>SUBSTITUTE(IFERROR(VLOOKUP(B16,[1]list!$A:$W,23,FALSE),""),"0","")</f>
        <v/>
      </c>
      <c r="I16" t="str">
        <f>IFERROR(VLOOKUP(B16,[1]list!$A:$AA,27,FALSE),"")</f>
        <v>1003022</v>
      </c>
    </row>
    <row r="17" spans="1:9">
      <c r="A17">
        <v>15</v>
      </c>
      <c r="B17" t="s">
        <v>52</v>
      </c>
      <c r="C17" t="str">
        <f>IFERROR(VLOOKUP(B17,[1]list!$A:$B,2,FALSE),"")</f>
        <v>ベイブアンドテス</v>
      </c>
      <c r="D17" t="str">
        <f>IFERROR(VLOOKUP(B17,[1]list!$A:$Z,26,FALSE),"")</f>
        <v>イタリアのベビー＆キッズブランド、ベイブアンドテス</v>
      </c>
      <c r="E17" t="s">
        <v>420</v>
      </c>
      <c r="F17" s="11" t="s">
        <v>182</v>
      </c>
      <c r="G17" t="str">
        <f t="shared" si="0"/>
        <v>BABE&amp;TESS ベイブアンドテス</v>
      </c>
      <c r="H17" t="str">
        <f>SUBSTITUTE(IFERROR(VLOOKUP(B17,[1]list!$A:$W,23,FALSE),""),"0","")</f>
        <v/>
      </c>
      <c r="I17" t="str">
        <f>IFERROR(VLOOKUP(B17,[1]list!$A:$AA,27,FALSE),"")</f>
        <v>1003023</v>
      </c>
    </row>
    <row r="18" spans="1:9">
      <c r="A18">
        <v>16</v>
      </c>
      <c r="B18" t="s">
        <v>69</v>
      </c>
      <c r="C18" t="str">
        <f>IFERROR(VLOOKUP(B18,[1]list!$A:$B,2,FALSE),"")</f>
        <v>ベンシモン</v>
      </c>
      <c r="D18" t="str">
        <f>IFERROR(VLOOKUP(B18,[1]list!$A:$Z,26,FALSE),"")</f>
        <v>パリジェンヌから愛されているスニーカーブランド、ベンシモン</v>
      </c>
      <c r="E18" s="4" t="s">
        <v>3414</v>
      </c>
      <c r="F18" s="11" t="s">
        <v>3556</v>
      </c>
      <c r="G18" t="str">
        <f t="shared" si="0"/>
        <v>BENSIMON ベンシモン</v>
      </c>
      <c r="H18" t="str">
        <f>SUBSTITUTE(IFERROR(VLOOKUP(B18,[1]list!$A:$W,23,FALSE),""),"0","")</f>
        <v/>
      </c>
      <c r="I18" t="str">
        <f>IFERROR(VLOOKUP(B18,[1]list!$A:$AA,27,FALSE),"")</f>
        <v>1003024</v>
      </c>
    </row>
    <row r="19" spans="1:9">
      <c r="A19">
        <v>17</v>
      </c>
      <c r="B19" t="s">
        <v>79</v>
      </c>
      <c r="C19" t="str">
        <f>IFERROR(VLOOKUP(B19,[1]list!$A:$B,2,FALSE),"")</f>
        <v>レペット</v>
      </c>
      <c r="D19" t="str">
        <f>IFERROR(VLOOKUP(B19,[1]list!$A:$Z,26,FALSE),"")</f>
        <v>クラシックバレエシューズウェアのトップブランド、レペット</v>
      </c>
      <c r="E19" t="s">
        <v>445</v>
      </c>
      <c r="F19" s="11" t="s">
        <v>3555</v>
      </c>
      <c r="G19" t="str">
        <f t="shared" si="0"/>
        <v>REPETTO レペット</v>
      </c>
      <c r="H19" t="str">
        <f>SUBSTITUTE(IFERROR(VLOOKUP(B19,[1]list!$A:$W,23,FALSE),""),"0","")</f>
        <v/>
      </c>
      <c r="I19" t="str">
        <f>IFERROR(VLOOKUP(B19,[1]list!$A:$AA,27,FALSE),"")</f>
        <v>1003025</v>
      </c>
    </row>
    <row r="20" spans="1:9">
      <c r="A20">
        <v>18</v>
      </c>
      <c r="B20" t="s">
        <v>80</v>
      </c>
      <c r="C20" t="str">
        <f>IFERROR(VLOOKUP(B20,[1]list!$A:$B,2,FALSE),"")</f>
        <v>サンアルシデ</v>
      </c>
      <c r="D20" t="str">
        <f>IFERROR(VLOOKUP(B20,[1]list!$A:$Z,26,FALSE),"")</f>
        <v>スタイリッシュなデザインのラフィアバッグや帽子で有名なサンアルシデ</v>
      </c>
      <c r="E20" t="s">
        <v>465</v>
      </c>
      <c r="F20" s="11" t="s">
        <v>3554</v>
      </c>
      <c r="G20" t="str">
        <f t="shared" si="0"/>
        <v>SANS ARCIDET サンアルシデ</v>
      </c>
      <c r="H20" t="str">
        <f>SUBSTITUTE(IFERROR(VLOOKUP(B20,[1]list!$A:$W,23,FALSE),""),"0","")</f>
        <v/>
      </c>
      <c r="I20" t="str">
        <f>IFERROR(VLOOKUP(B20,[1]list!$A:$AA,27,FALSE),"")</f>
        <v>1004031</v>
      </c>
    </row>
    <row r="21" spans="1:9">
      <c r="A21">
        <v>19</v>
      </c>
      <c r="B21" t="s">
        <v>56</v>
      </c>
      <c r="C21" t="str">
        <f>IFERROR(VLOOKUP(B21,[1]list!$A:$B,2,FALSE),"")</f>
        <v>クリスティーナ・ローデ</v>
      </c>
      <c r="D21" t="str">
        <f>IFERROR(VLOOKUP(B21,[1]list!$A:$Z,26,FALSE),"")</f>
        <v>デンマーク発の老舗子供服ブランド</v>
      </c>
      <c r="E21" t="s">
        <v>424</v>
      </c>
      <c r="F21" s="11" t="s">
        <v>3553</v>
      </c>
      <c r="G21" t="str">
        <f t="shared" si="0"/>
        <v>CHRISTINA ROHDE クリスティーナ・ローデ</v>
      </c>
      <c r="H21" t="str">
        <f>SUBSTITUTE(IFERROR(VLOOKUP(B21,[1]list!$A:$W,23,FALSE),""),"0","")</f>
        <v/>
      </c>
      <c r="I21" t="str">
        <f>IFERROR(VLOOKUP(B21,[1]list!$A:$AA,27,FALSE),"")</f>
        <v>1004032</v>
      </c>
    </row>
    <row r="22" spans="1:9">
      <c r="A22">
        <v>20</v>
      </c>
      <c r="B22" t="s">
        <v>51</v>
      </c>
      <c r="C22" t="str">
        <f>IFERROR(VLOOKUP(B22,[1]list!$A:$B,2,FALSE),"")</f>
        <v>アルバム ディ　ファミリア</v>
      </c>
      <c r="D22" t="str">
        <f>IFERROR(VLOOKUP(B22,[1]list!$A:$Z,26,FALSE),"")</f>
        <v>現代的でミニマルなデザインと上質なコットンの肌触りが人気</v>
      </c>
      <c r="E22" t="s">
        <v>419</v>
      </c>
      <c r="F22" s="11" t="s">
        <v>3545</v>
      </c>
      <c r="G22" t="str">
        <f t="shared" si="0"/>
        <v>ALBUM DI FAMIGLIA アルバム ディ　ファミリア</v>
      </c>
      <c r="H22" t="str">
        <f>SUBSTITUTE(IFERROR(VLOOKUP(B22,[1]list!$A:$W,23,FALSE),""),"0","")</f>
        <v/>
      </c>
      <c r="I22" t="str">
        <f>IFERROR(VLOOKUP(B22,[1]list!$A:$AA,27,FALSE),"")</f>
        <v>1004033</v>
      </c>
    </row>
    <row r="23" spans="1:9">
      <c r="A23">
        <v>21</v>
      </c>
      <c r="B23" t="s">
        <v>67</v>
      </c>
      <c r="C23" t="str">
        <f>IFERROR(VLOOKUP(B23,[1]list!$A:$B,2,FALSE),"")</f>
        <v>アメリカンアウトフィッターズ</v>
      </c>
      <c r="D23" t="str">
        <f>IFERROR(VLOOKUP(B23,[1]list!$A:$Z,26,FALSE),"")</f>
        <v>ベルギーから見たアメリカンカジュアルスタイルがコンセプト</v>
      </c>
      <c r="E23" t="s">
        <v>453</v>
      </c>
      <c r="F23" s="12" t="s">
        <v>3552</v>
      </c>
      <c r="G23" t="str">
        <f t="shared" si="0"/>
        <v>AMERICAN OUTFITTERS アメリカンアウトフィッターズ</v>
      </c>
      <c r="H23" t="str">
        <f>SUBSTITUTE(IFERROR(VLOOKUP(B23,[1]list!$A:$W,23,FALSE),""),"0","")</f>
        <v/>
      </c>
      <c r="I23" t="str">
        <f>IFERROR(VLOOKUP(B23,[1]list!$A:$AA,27,FALSE),"")</f>
        <v>1004034</v>
      </c>
    </row>
    <row r="24" spans="1:9">
      <c r="A24">
        <v>22</v>
      </c>
      <c r="B24" t="s">
        <v>81</v>
      </c>
      <c r="C24" t="str">
        <f>IFERROR(VLOOKUP(B24,[1]list!$A:$B,2,FALSE),"")</f>
        <v>スール</v>
      </c>
      <c r="D24" t="str">
        <f>IFERROR(VLOOKUP(B24,[1]list!$A:$Z,26,FALSE),"")</f>
        <v>上品な中にもキュートさがのぞくコレクション</v>
      </c>
      <c r="E24" t="s">
        <v>466</v>
      </c>
      <c r="F24" s="11" t="s">
        <v>3551</v>
      </c>
      <c r="G24" t="str">
        <f t="shared" si="0"/>
        <v>SOEUR スール</v>
      </c>
      <c r="H24" t="str">
        <f>SUBSTITUTE(IFERROR(VLOOKUP(B24,[1]list!$A:$W,23,FALSE),""),"0","")</f>
        <v/>
      </c>
      <c r="I24" t="str">
        <f>IFERROR(VLOOKUP(B24,[1]list!$A:$AA,27,FALSE),"")</f>
        <v>1004036</v>
      </c>
    </row>
    <row r="25" spans="1:9">
      <c r="A25">
        <v>23</v>
      </c>
      <c r="B25" t="s">
        <v>66</v>
      </c>
      <c r="C25" t="str">
        <f>IFERROR(VLOOKUP(B25,[1]list!$A:$B,2,FALSE),"")</f>
        <v>ゼフ</v>
      </c>
      <c r="D25" t="str">
        <f>IFERROR(VLOOKUP(B25,[1]list!$A:$Z,26,FALSE),"")</f>
        <v>フランスでは「Vogue」や「milk」などでも紹介されている人気子供服ブランド。</v>
      </c>
      <c r="E25" t="s">
        <v>434</v>
      </c>
      <c r="F25" s="11" t="s">
        <v>242</v>
      </c>
      <c r="G25" t="str">
        <f t="shared" si="0"/>
        <v>ZEF ゼフ</v>
      </c>
      <c r="H25" t="str">
        <f>SUBSTITUTE(IFERROR(VLOOKUP(B25,[1]list!$A:$W,23,FALSE),""),"0","")</f>
        <v/>
      </c>
      <c r="I25" t="str">
        <f>IFERROR(VLOOKUP(B25,[1]list!$A:$AA,27,FALSE),"")</f>
        <v>1005041</v>
      </c>
    </row>
    <row r="26" spans="1:9">
      <c r="A26">
        <v>24</v>
      </c>
      <c r="B26" t="s">
        <v>2291</v>
      </c>
      <c r="C26" t="str">
        <f>IFERROR(VLOOKUP(B26,[1]list!$A:$B,2,FALSE),"")</f>
        <v>ラ・ボッテガ・ディ・ジョルジア</v>
      </c>
      <c r="D26" t="str">
        <f>IFERROR(VLOOKUP(B26,[1]list!$A:$Z,26,FALSE),"")</f>
        <v>素材の質を大切にしたイタリアのブランド</v>
      </c>
      <c r="E26" t="s">
        <v>457</v>
      </c>
      <c r="F26" s="12" t="s">
        <v>3550</v>
      </c>
      <c r="G26" t="str">
        <f t="shared" si="0"/>
        <v>LA BOTTEGA DI GIORGIA ラ・ボッテガ・ディ・ジョルジア</v>
      </c>
      <c r="H26" t="str">
        <f>SUBSTITUTE(IFERROR(VLOOKUP(B26,[1]list!$A:$W,23,FALSE),""),"0","")</f>
        <v/>
      </c>
      <c r="I26" t="str">
        <f>IFERROR(VLOOKUP(B26,[1]list!$A:$AA,27,FALSE),"")</f>
        <v>1005043</v>
      </c>
    </row>
    <row r="27" spans="1:9">
      <c r="A27">
        <v>25</v>
      </c>
      <c r="B27" t="s">
        <v>77</v>
      </c>
      <c r="C27" t="str">
        <f>IFERROR(VLOOKUP(B27,[1]list!$A:$B,2,FALSE),"")</f>
        <v>ノロ</v>
      </c>
      <c r="D27" t="str">
        <f>IFERROR(VLOOKUP(B27,[1]list!$A:$Z,26,FALSE),"")</f>
        <v>パリを拠点とするブランド「NORO (ノロ) 」。ナチュラルでありながら洗練されたコレクション</v>
      </c>
      <c r="E27" t="s">
        <v>3548</v>
      </c>
      <c r="F27" s="11" t="s">
        <v>3549</v>
      </c>
      <c r="G27" t="str">
        <f t="shared" si="0"/>
        <v>NORO ノロ</v>
      </c>
      <c r="H27" t="str">
        <f>SUBSTITUTE(IFERROR(VLOOKUP(B27,[1]list!$A:$W,23,FALSE),""),"0","")</f>
        <v/>
      </c>
      <c r="I27" t="str">
        <f>IFERROR(VLOOKUP(B27,[1]list!$A:$AA,27,FALSE),"")</f>
        <v>1005044</v>
      </c>
    </row>
  </sheetData>
  <sortState ref="B2:I30">
    <sortCondition descending="1" ref="H2:H30"/>
    <sortCondition ref="I2:I30"/>
    <sortCondition ref="B2:B30"/>
  </sortState>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I33"/>
  <sheetViews>
    <sheetView workbookViewId="0">
      <selection activeCell="D42" sqref="D42"/>
    </sheetView>
  </sheetViews>
  <sheetFormatPr defaultRowHeight="13.5"/>
  <cols>
    <col min="2" max="2" width="19.25" bestFit="1" customWidth="1"/>
    <col min="3" max="3" width="19.25" customWidth="1"/>
    <col min="4" max="4" width="33.75" bestFit="1" customWidth="1"/>
    <col min="5" max="5" width="9" customWidth="1"/>
    <col min="6" max="6" width="20.5" customWidth="1"/>
  </cols>
  <sheetData>
    <row r="1" spans="1:9">
      <c r="A1" t="s">
        <v>1935</v>
      </c>
      <c r="B1" t="s">
        <v>9</v>
      </c>
      <c r="C1" t="s">
        <v>1934</v>
      </c>
      <c r="D1" t="s">
        <v>1933</v>
      </c>
      <c r="E1" s="5" t="s">
        <v>1936</v>
      </c>
      <c r="F1" t="s">
        <v>1932</v>
      </c>
      <c r="G1" t="s">
        <v>1931</v>
      </c>
      <c r="H1" t="s">
        <v>2283</v>
      </c>
      <c r="I1" t="s">
        <v>2284</v>
      </c>
    </row>
    <row r="2" spans="1:9">
      <c r="A2">
        <v>0</v>
      </c>
      <c r="B2" t="s">
        <v>102</v>
      </c>
      <c r="C2" t="str">
        <f>IFERROR(VLOOKUP(B2,[1]list!$A:$B,2,FALSE),"")</f>
        <v>ポルセリ</v>
      </c>
      <c r="D2" t="s">
        <v>489</v>
      </c>
      <c r="E2" s="6" t="str">
        <f>IFERROR(VLOOKUP(B2,[1]list!$A:$Z,26,FALSE),"")</f>
        <v>イタリア・ミラノの老舗バレエシューズブランド</v>
      </c>
      <c r="F2" s="11" t="s">
        <v>3562</v>
      </c>
      <c r="G2" t="str">
        <f t="shared" ref="G2:G33" si="0">B2&amp;" "&amp;C2</f>
        <v>PORSELLI ポルセリ</v>
      </c>
      <c r="H2" t="str">
        <f>SUBSTITUTE(IFERROR(VLOOKUP(B2,[1]list!$A:$W,23,FALSE),""),"0","")</f>
        <v/>
      </c>
      <c r="I2" t="str">
        <f>IFERROR(VLOOKUP(B2,[1]list!$A:$AB,28,FALSE),"")</f>
        <v>2001001</v>
      </c>
    </row>
    <row r="3" spans="1:9">
      <c r="A3">
        <v>1</v>
      </c>
      <c r="B3" t="s">
        <v>107</v>
      </c>
      <c r="C3" t="str">
        <f>IFERROR(VLOOKUP(B3,[1]list!$A:$B,2,FALSE),"")</f>
        <v>ティヤマイ</v>
      </c>
      <c r="D3" t="s">
        <v>494</v>
      </c>
      <c r="E3" s="6" t="str">
        <f>IFERROR(VLOOKUP(B3,[1]list!$A:$Z,26,FALSE),"")</f>
        <v>ベーシックなアイテムに今の気分を取り入れたニュースタンダードが人気のティ・ヤマイ</v>
      </c>
      <c r="F3" s="11" t="s">
        <v>3563</v>
      </c>
      <c r="G3" t="str">
        <f t="shared" si="0"/>
        <v>T.YAMAI ティヤマイ</v>
      </c>
      <c r="H3" t="str">
        <f>SUBSTITUTE(IFERROR(VLOOKUP(B3,[1]list!$A:$W,23,FALSE),""),"0","")</f>
        <v/>
      </c>
      <c r="I3" t="str">
        <f>IFERROR(VLOOKUP(B3,[1]list!$A:$AB,28,FALSE),"")</f>
        <v>2001002</v>
      </c>
    </row>
    <row r="4" spans="1:9">
      <c r="A4">
        <v>2</v>
      </c>
      <c r="B4" t="s">
        <v>104</v>
      </c>
      <c r="C4" t="str">
        <f>IFERROR(VLOOKUP(B4,[1]list!$A:$B,2,FALSE),"")</f>
        <v>ソフィー・ディガール</v>
      </c>
      <c r="D4" t="s">
        <v>491</v>
      </c>
      <c r="E4" s="6" t="str">
        <f>IFERROR(VLOOKUP(B4,[1]list!$A:$Z,26,FALSE),"")</f>
        <v>世界中にファンが広がるソフィー・ディガールのアクセサリー</v>
      </c>
      <c r="F4" s="11" t="s">
        <v>3564</v>
      </c>
      <c r="G4" t="str">
        <f t="shared" si="0"/>
        <v>SOPHIE DIGARD ソフィー・ディガール</v>
      </c>
      <c r="H4" t="str">
        <f>SUBSTITUTE(IFERROR(VLOOKUP(B4,[1]list!$A:$W,23,FALSE),""),"0","")</f>
        <v/>
      </c>
      <c r="I4" t="str">
        <f>IFERROR(VLOOKUP(B4,[1]list!$A:$AB,28,FALSE),"")</f>
        <v>2001003</v>
      </c>
    </row>
    <row r="5" spans="1:9">
      <c r="A5">
        <v>3</v>
      </c>
      <c r="B5" t="s">
        <v>72</v>
      </c>
      <c r="C5" t="str">
        <f>IFERROR(VLOOKUP(B5,[1]list!$A:$B,2,FALSE),"")</f>
        <v>ラベンハム</v>
      </c>
      <c r="D5" t="s">
        <v>458</v>
      </c>
      <c r="E5" s="6" t="str">
        <f>IFERROR(VLOOKUP(B5,[1]list!$A:$Z,26,FALSE),"")</f>
        <v>英国の老舗ブランド、ラベンハム</v>
      </c>
      <c r="F5" s="12" t="s">
        <v>3565</v>
      </c>
      <c r="G5" t="str">
        <f t="shared" si="0"/>
        <v>LAVENHAM ラベンハム</v>
      </c>
      <c r="H5" t="str">
        <f>SUBSTITUTE(IFERROR(VLOOKUP(B5,[1]list!$A:$W,23,FALSE),""),"0","")</f>
        <v/>
      </c>
      <c r="I5" t="str">
        <f>IFERROR(VLOOKUP(B5,[1]list!$A:$AB,28,FALSE),"")</f>
        <v>2001004</v>
      </c>
    </row>
    <row r="6" spans="1:9">
      <c r="A6">
        <v>4</v>
      </c>
      <c r="B6" t="s">
        <v>89</v>
      </c>
      <c r="C6" t="str">
        <f>IFERROR(VLOOKUP(B6,[1]list!$A:$B,2,FALSE),"")</f>
        <v>ファビオルスコーニ</v>
      </c>
      <c r="D6" t="s">
        <v>476</v>
      </c>
      <c r="E6" s="6" t="str">
        <f>IFERROR(VLOOKUP(B6,[1]list!$A:$Z,26,FALSE),"")</f>
        <v>若々しく行動的、洗練された女性のために捧げたコレクション</v>
      </c>
      <c r="F6" s="12" t="s">
        <v>3566</v>
      </c>
      <c r="G6" t="str">
        <f t="shared" si="0"/>
        <v>FABIO RUSCONI ファビオルスコーニ</v>
      </c>
      <c r="H6" t="str">
        <f>SUBSTITUTE(IFERROR(VLOOKUP(B6,[1]list!$A:$W,23,FALSE),""),"0","")</f>
        <v/>
      </c>
      <c r="I6" t="str">
        <f>IFERROR(VLOOKUP(B6,[1]list!$A:$AB,28,FALSE),"")</f>
        <v>2001005</v>
      </c>
    </row>
    <row r="7" spans="1:9">
      <c r="A7">
        <v>5</v>
      </c>
      <c r="B7" t="s">
        <v>103</v>
      </c>
      <c r="C7" t="str">
        <f>IFERROR(VLOOKUP(B7,[1]list!$A:$B,2,FALSE),"")</f>
        <v>ソフィードール</v>
      </c>
      <c r="D7" t="s">
        <v>490</v>
      </c>
      <c r="E7" s="6" t="str">
        <f>IFERROR(VLOOKUP(B7,[1]list!$A:$Z,26,FALSE),"")</f>
        <v>時代に左右されることなく、時を経ても新鮮さを失わない上質さが人気</v>
      </c>
      <c r="F7" s="12" t="s">
        <v>3567</v>
      </c>
      <c r="G7" t="str">
        <f t="shared" si="0"/>
        <v>SOFIE D'HOORE ソフィードール</v>
      </c>
      <c r="H7" t="str">
        <f>SUBSTITUTE(IFERROR(VLOOKUP(B7,[1]list!$A:$W,23,FALSE),""),"0","")</f>
        <v/>
      </c>
      <c r="I7" t="str">
        <f>IFERROR(VLOOKUP(B7,[1]list!$A:$AB,28,FALSE),"")</f>
        <v>2001006</v>
      </c>
    </row>
    <row r="8" spans="1:9">
      <c r="A8">
        <v>6</v>
      </c>
      <c r="B8" t="s">
        <v>95</v>
      </c>
      <c r="C8" t="str">
        <f>IFERROR(VLOOKUP(B8,[1]list!$A:$B,2,FALSE),"")</f>
        <v>マジェスティックフィラチュール</v>
      </c>
      <c r="D8" t="s">
        <v>482</v>
      </c>
      <c r="E8" s="6" t="str">
        <f>IFERROR(VLOOKUP(B8,[1]list!$A:$Z,26,FALSE),"")</f>
        <v>糸から選んで製品にするまでを自社で行うこだわりのブランド</v>
      </c>
      <c r="F8" s="12" t="s">
        <v>3568</v>
      </c>
      <c r="G8" t="str">
        <f t="shared" si="0"/>
        <v>MAJESTIC FILATURES マジェスティックフィラチュール</v>
      </c>
      <c r="H8" t="str">
        <f>SUBSTITUTE(IFERROR(VLOOKUP(B8,[1]list!$A:$W,23,FALSE),""),"0","")</f>
        <v/>
      </c>
      <c r="I8" t="str">
        <f>IFERROR(VLOOKUP(B8,[1]list!$A:$AB,28,FALSE),"")</f>
        <v>2001007</v>
      </c>
    </row>
    <row r="9" spans="1:9">
      <c r="A9">
        <v>7</v>
      </c>
      <c r="B9" t="s">
        <v>62</v>
      </c>
      <c r="C9" t="str">
        <f>IFERROR(VLOOKUP(B9,[1]list!$A:$B,2,FALSE),"")</f>
        <v>マキエ</v>
      </c>
      <c r="D9" t="s">
        <v>430</v>
      </c>
      <c r="E9" s="6" t="str">
        <f>IFERROR(VLOOKUP(B9,[1]list!$A:$Z,26,FALSE),"")</f>
        <v>NYとヨーロッパのイメージをMIXした雰囲気が人気のマキエ</v>
      </c>
      <c r="F9" s="11" t="s">
        <v>3570</v>
      </c>
      <c r="G9" t="str">
        <f t="shared" si="0"/>
        <v>MAKIE マキエ</v>
      </c>
      <c r="H9" t="str">
        <f>SUBSTITUTE(IFERROR(VLOOKUP(B9,[1]list!$A:$W,23,FALSE),""),"0","")</f>
        <v/>
      </c>
      <c r="I9" t="str">
        <f>IFERROR(VLOOKUP(B9,[1]list!$A:$AB,28,FALSE),"")</f>
        <v>2001007</v>
      </c>
    </row>
    <row r="10" spans="1:9">
      <c r="A10">
        <v>8</v>
      </c>
      <c r="B10" t="s">
        <v>53</v>
      </c>
      <c r="C10" t="str">
        <f>IFERROR(VLOOKUP(B10,[1]list!$A:$B,2,FALSE),"")</f>
        <v>ボンポワン</v>
      </c>
      <c r="D10" t="s">
        <v>421</v>
      </c>
      <c r="E10" s="6" t="str">
        <f>IFERROR(VLOOKUP(B10,[1]list!$A:$Z,26,FALSE),"")</f>
        <v>世界中から愛されているパリの老舗ブランド、ボンポワン</v>
      </c>
      <c r="F10" s="11" t="s">
        <v>3572</v>
      </c>
      <c r="G10" t="str">
        <f t="shared" si="0"/>
        <v>BONPOINT ボンポワン</v>
      </c>
      <c r="H10" t="str">
        <f>SUBSTITUTE(IFERROR(VLOOKUP(B10,[1]list!$A:$W,23,FALSE),""),"0","")</f>
        <v/>
      </c>
      <c r="I10" t="str">
        <f>IFERROR(VLOOKUP(B10,[1]list!$A:$AB,28,FALSE),"")</f>
        <v>2001008</v>
      </c>
    </row>
    <row r="11" spans="1:9">
      <c r="A11">
        <v>9</v>
      </c>
      <c r="B11" t="s">
        <v>88</v>
      </c>
      <c r="C11" t="str">
        <f>IFERROR(VLOOKUP(B11,[1]list!$A:$B,2,FALSE),"")</f>
        <v>ドラゴン</v>
      </c>
      <c r="D11" t="s">
        <v>475</v>
      </c>
      <c r="E11" s="6" t="str">
        <f>IFERROR(VLOOKUP(B11,[1]list!$A:$Z,26,FALSE),"")</f>
        <v>熟練した職人の編みこみによるレザーメッシュが大人気</v>
      </c>
      <c r="F11" s="11" t="s">
        <v>3573</v>
      </c>
      <c r="G11" t="str">
        <f t="shared" si="0"/>
        <v>DRAGON ドラゴン</v>
      </c>
      <c r="H11" t="str">
        <f>SUBSTITUTE(IFERROR(VLOOKUP(B11,[1]list!$A:$W,23,FALSE),""),"0","")</f>
        <v/>
      </c>
      <c r="I11" t="str">
        <f>IFERROR(VLOOKUP(B11,[1]list!$A:$AB,28,FALSE),"")</f>
        <v>2002011</v>
      </c>
    </row>
    <row r="12" spans="1:9">
      <c r="A12">
        <v>10</v>
      </c>
      <c r="B12" t="s">
        <v>100</v>
      </c>
      <c r="C12" t="str">
        <f>IFERROR(VLOOKUP(B12,[1]list!$A:$B,2,FALSE),"")</f>
        <v>ムーニュ</v>
      </c>
      <c r="D12" t="s">
        <v>487</v>
      </c>
      <c r="E12" s="6" t="str">
        <f>IFERROR(VLOOKUP(B12,[1]list!$A:$Z,26,FALSE),"")</f>
        <v>伝統的な手法でハンドメイドされたカゴバッグのブランド</v>
      </c>
      <c r="F12" s="11" t="s">
        <v>385</v>
      </c>
      <c r="G12" t="str">
        <f t="shared" si="0"/>
        <v>MUUN ムーニュ</v>
      </c>
      <c r="H12" t="str">
        <f>SUBSTITUTE(IFERROR(VLOOKUP(B12,[1]list!$A:$W,23,FALSE),""),"0","")</f>
        <v/>
      </c>
      <c r="I12" t="str">
        <f>IFERROR(VLOOKUP(B12,[1]list!$A:$AB,28,FALSE),"")</f>
        <v>2002012</v>
      </c>
    </row>
    <row r="13" spans="1:9">
      <c r="A13">
        <v>11</v>
      </c>
      <c r="B13" t="s">
        <v>93</v>
      </c>
      <c r="C13" t="str">
        <f>IFERROR(VLOOKUP(B13,[1]list!$A:$B,2,FALSE),"")</f>
        <v>ジャマンピエッシュ</v>
      </c>
      <c r="D13" t="s">
        <v>480</v>
      </c>
      <c r="E13" s="6" t="str">
        <f>IFERROR(VLOOKUP(B13,[1]list!$A:$Z,26,FALSE),"")</f>
        <v>パリ発の現代的な感覚のコレクションが人気</v>
      </c>
      <c r="F13" s="12" t="s">
        <v>3607</v>
      </c>
      <c r="G13" t="str">
        <f t="shared" si="0"/>
        <v>JAMIN PUECH ジャマンピエッシュ</v>
      </c>
      <c r="H13" t="str">
        <f>SUBSTITUTE(IFERROR(VLOOKUP(B13,[1]list!$A:$W,23,FALSE),""),"0","")</f>
        <v/>
      </c>
      <c r="I13" t="str">
        <f>IFERROR(VLOOKUP(B13,[1]list!$A:$AB,28,FALSE),"")</f>
        <v>2002014</v>
      </c>
    </row>
    <row r="14" spans="1:9">
      <c r="A14">
        <v>12</v>
      </c>
      <c r="B14" t="s">
        <v>78</v>
      </c>
      <c r="C14" t="str">
        <f>IFERROR(VLOOKUP(B14,[1]list!$A:$B,2,FALSE),"")</f>
        <v>ポルダー</v>
      </c>
      <c r="D14" t="s">
        <v>464</v>
      </c>
      <c r="E14" s="6" t="str">
        <f>IFERROR(VLOOKUP(B14,[1]list!$A:$Z,26,FALSE),"")</f>
        <v>フレンチシックで洗練されたデザインが人気</v>
      </c>
      <c r="F14" s="11" t="s">
        <v>3600</v>
      </c>
      <c r="G14" t="str">
        <f t="shared" si="0"/>
        <v>POLDER ポルダー</v>
      </c>
      <c r="H14" t="str">
        <f>SUBSTITUTE(IFERROR(VLOOKUP(B14,[1]list!$A:$W,23,FALSE),""),"0","")</f>
        <v/>
      </c>
      <c r="I14" t="str">
        <f>IFERROR(VLOOKUP(B14,[1]list!$A:$AB,28,FALSE),"")</f>
        <v>2002015</v>
      </c>
    </row>
    <row r="15" spans="1:9">
      <c r="A15">
        <v>13</v>
      </c>
      <c r="B15" t="s">
        <v>73</v>
      </c>
      <c r="C15" t="str">
        <f>IFERROR(VLOOKUP(B15,[1]list!$A:$B,2,FALSE),"")</f>
        <v>レコヨーテドゥパリ</v>
      </c>
      <c r="D15" t="s">
        <v>459</v>
      </c>
      <c r="E15" s="6" t="str">
        <f>IFERROR(VLOOKUP(B15,[1]list!$A:$Z,26,FALSE),"")</f>
        <v>キッズからレディースまで揃う時代に流されないタイムレスなコレクション</v>
      </c>
      <c r="F15" s="12" t="s">
        <v>3596</v>
      </c>
      <c r="G15" t="str">
        <f t="shared" si="0"/>
        <v>LES COYOTES DE PARIS レコヨーテドゥパリ</v>
      </c>
      <c r="H15" t="str">
        <f>SUBSTITUTE(IFERROR(VLOOKUP(B15,[1]list!$A:$W,23,FALSE),""),"0","")</f>
        <v/>
      </c>
      <c r="I15" t="str">
        <f>IFERROR(VLOOKUP(B15,[1]list!$A:$AB,28,FALSE),"")</f>
        <v>2002016</v>
      </c>
    </row>
    <row r="16" spans="1:9">
      <c r="A16">
        <v>14</v>
      </c>
      <c r="B16" t="s">
        <v>106</v>
      </c>
      <c r="C16" t="str">
        <f>IFERROR(VLOOKUP(B16,[1]list!$A:$B,2,FALSE),"")</f>
        <v>トラディショナルウェザーウエア</v>
      </c>
      <c r="D16" t="s">
        <v>493</v>
      </c>
      <c r="E16" s="6" t="str">
        <f>IFERROR(VLOOKUP(B16,[1]list!$A:$Z,26,FALSE),"")</f>
        <v>英国「マッキントッシュ」社のセカンドライン、トラディショナルウェザーウェア</v>
      </c>
      <c r="F16" s="11" t="s">
        <v>3574</v>
      </c>
      <c r="G16" t="str">
        <f t="shared" si="0"/>
        <v>TRADITIONAL WEATHERWEAR トラディショナルウェザーウエア</v>
      </c>
      <c r="H16" t="str">
        <f>SUBSTITUTE(IFERROR(VLOOKUP(B16,[1]list!$A:$W,23,FALSE),""),"0","")</f>
        <v/>
      </c>
      <c r="I16" t="str">
        <f>IFERROR(VLOOKUP(B16,[1]list!$A:$AB,28,FALSE),"")</f>
        <v>2002017</v>
      </c>
    </row>
    <row r="17" spans="1:9">
      <c r="A17">
        <v>15</v>
      </c>
      <c r="B17" t="s">
        <v>83</v>
      </c>
      <c r="C17" t="str">
        <f>IFERROR(VLOOKUP(B17,[1]list!$A:$B,2,FALSE),"")</f>
        <v>ボーモントオーガニック</v>
      </c>
      <c r="D17" t="s">
        <v>470</v>
      </c>
      <c r="E17" s="6" t="str">
        <f>IFERROR(VLOOKUP(B17,[1]list!$A:$Z,26,FALSE),"")</f>
        <v>英国発、上質な素材にこだわった現代的なコレクション</v>
      </c>
      <c r="F17" s="11" t="s">
        <v>3575</v>
      </c>
      <c r="G17" t="str">
        <f t="shared" si="0"/>
        <v>BEAUMONT ORGANIC ボーモントオーガニック</v>
      </c>
      <c r="H17" t="str">
        <f>SUBSTITUTE(IFERROR(VLOOKUP(B17,[1]list!$A:$W,23,FALSE),""),"0","")</f>
        <v/>
      </c>
      <c r="I17" t="str">
        <f>IFERROR(VLOOKUP(B17,[1]list!$A:$AB,28,FALSE),"")</f>
        <v>2002018</v>
      </c>
    </row>
    <row r="18" spans="1:9">
      <c r="A18">
        <v>16</v>
      </c>
      <c r="B18" t="s">
        <v>64</v>
      </c>
      <c r="C18" t="str">
        <f>IFERROR(VLOOKUP(B18,[1]list!$A:$B,2,FALSE),"")</f>
        <v>ペペ</v>
      </c>
      <c r="D18" t="s">
        <v>432</v>
      </c>
      <c r="E18" s="6" t="str">
        <f>IFERROR(VLOOKUP(B18,[1]list!$A:$Z,26,FALSE),"")</f>
        <v>ベビーからレディースまで揃うイタリアの老舗シューズブランド、ペペ</v>
      </c>
      <c r="F18" s="11" t="s">
        <v>3578</v>
      </c>
      <c r="G18" t="str">
        <f t="shared" si="0"/>
        <v>PEPE ペペ</v>
      </c>
      <c r="H18" t="str">
        <f>SUBSTITUTE(IFERROR(VLOOKUP(B18,[1]list!$A:$W,23,FALSE),""),"0","")</f>
        <v/>
      </c>
      <c r="I18" t="str">
        <f>IFERROR(VLOOKUP(B18,[1]list!$A:$AB,28,FALSE),"")</f>
        <v>2002019</v>
      </c>
    </row>
    <row r="19" spans="1:9">
      <c r="A19">
        <v>17</v>
      </c>
      <c r="B19" t="s">
        <v>90</v>
      </c>
      <c r="C19" t="str">
        <f>IFERROR(VLOOKUP(B19,[1]list!$A:$B,2,FALSE),"")</f>
        <v>ファリエロサルティ</v>
      </c>
      <c r="D19" t="s">
        <v>477</v>
      </c>
      <c r="E19" s="6" t="str">
        <f>IFERROR(VLOOKUP(B19,[1]list!$A:$Z,26,FALSE),"")</f>
        <v>イタリアの老舗ブランド、ラグジュアリーなデザインが人気</v>
      </c>
      <c r="F19" s="11" t="s">
        <v>3577</v>
      </c>
      <c r="G19" t="str">
        <f t="shared" si="0"/>
        <v>FALIERO SARTI ファリエロサルティ</v>
      </c>
      <c r="H19" t="str">
        <f>SUBSTITUTE(IFERROR(VLOOKUP(B19,[1]list!$A:$W,23,FALSE),""),"0","")</f>
        <v/>
      </c>
      <c r="I19" t="str">
        <f>IFERROR(VLOOKUP(B19,[1]list!$A:$AB,28,FALSE),"")</f>
        <v>2003021</v>
      </c>
    </row>
    <row r="20" spans="1:9">
      <c r="A20">
        <v>18</v>
      </c>
      <c r="B20" t="s">
        <v>87</v>
      </c>
      <c r="C20" t="str">
        <f>IFERROR(VLOOKUP(B20,[1]list!$A:$B,2,FALSE),"")</f>
        <v>チャーリー</v>
      </c>
      <c r="D20" t="s">
        <v>474</v>
      </c>
      <c r="E20" s="6" t="str">
        <f>IFERROR(VLOOKUP(B20,[1]list!$A:$Z,26,FALSE),"")</f>
        <v>ロンドンのトレンドをエッセンスに、シックで上質なコレクションを展開</v>
      </c>
      <c r="F20" s="11" t="s">
        <v>3580</v>
      </c>
      <c r="G20" t="str">
        <f t="shared" si="0"/>
        <v>CHARLI チャーリー</v>
      </c>
      <c r="H20" t="str">
        <f>SUBSTITUTE(IFERROR(VLOOKUP(B20,[1]list!$A:$W,23,FALSE),""),"0","")</f>
        <v/>
      </c>
      <c r="I20" t="str">
        <f>IFERROR(VLOOKUP(B20,[1]list!$A:$AB,28,FALSE),"")</f>
        <v>2003022</v>
      </c>
    </row>
    <row r="21" spans="1:9">
      <c r="A21">
        <v>19</v>
      </c>
      <c r="B21" t="s">
        <v>96</v>
      </c>
      <c r="C21" t="str">
        <f>IFERROR(VLOOKUP(B21,[1]list!$A:$B,2,FALSE),"")</f>
        <v>マニュエルギバル</v>
      </c>
      <c r="D21" t="s">
        <v>483</v>
      </c>
      <c r="E21" s="6" t="str">
        <f>IFERROR(VLOOKUP(B21,[1]list!$A:$Z,26,FALSE),"")</f>
        <v>着るひとの個性を惹きたたせるミニマルでモダンなデザインが魅力</v>
      </c>
      <c r="F21" s="12" t="s">
        <v>3579</v>
      </c>
      <c r="G21" t="str">
        <f t="shared" si="0"/>
        <v>MANUELLE GUIBAL マニュエルギバル</v>
      </c>
      <c r="H21" t="str">
        <f>SUBSTITUTE(IFERROR(VLOOKUP(B21,[1]list!$A:$W,23,FALSE),""),"0","")</f>
        <v/>
      </c>
      <c r="I21" t="str">
        <f>IFERROR(VLOOKUP(B21,[1]list!$A:$AB,28,FALSE),"")</f>
        <v>2003023</v>
      </c>
    </row>
    <row r="22" spans="1:9">
      <c r="A22">
        <v>20</v>
      </c>
      <c r="B22" t="s">
        <v>94</v>
      </c>
      <c r="C22" t="str">
        <f>IFERROR(VLOOKUP(B22,[1]list!$A:$B,2,FALSE),"")</f>
        <v>カディアンドコー</v>
      </c>
      <c r="D22" t="s">
        <v>481</v>
      </c>
      <c r="E22" s="6" t="str">
        <f>IFERROR(VLOOKUP(B22,[1]list!$A:$Z,26,FALSE),"")</f>
        <v>EPICEのデザイナー、Bess Nielseが立ち上げたファブリックブランド</v>
      </c>
      <c r="F22" s="12" t="s">
        <v>3581</v>
      </c>
      <c r="G22" t="str">
        <f t="shared" si="0"/>
        <v>KHADI &amp; CO カディアンドコー</v>
      </c>
      <c r="H22" t="str">
        <f>SUBSTITUTE(IFERROR(VLOOKUP(B22,[1]list!$A:$W,23,FALSE),""),"0","")</f>
        <v/>
      </c>
      <c r="I22" t="str">
        <f>IFERROR(VLOOKUP(B22,[1]list!$A:$AB,28,FALSE),"")</f>
        <v>2003025</v>
      </c>
    </row>
    <row r="23" spans="1:9">
      <c r="A23">
        <v>21</v>
      </c>
      <c r="B23" t="s">
        <v>84</v>
      </c>
      <c r="C23" t="str">
        <f>IFERROR(VLOOKUP(B23,[1]list!$A:$B,2,FALSE),"")</f>
        <v>カスタニエール</v>
      </c>
      <c r="D23" t="s">
        <v>471</v>
      </c>
      <c r="E23" s="6" t="str">
        <f>IFERROR(VLOOKUP(B23,[1]list!$A:$Z,26,FALSE),"")</f>
        <v>スペインのエスパドリーユ老舗ブランド、カスタニェール</v>
      </c>
      <c r="F23" s="11" t="s">
        <v>322</v>
      </c>
      <c r="G23" t="str">
        <f t="shared" si="0"/>
        <v>CASTANER カスタニエール</v>
      </c>
      <c r="H23" t="str">
        <f>SUBSTITUTE(IFERROR(VLOOKUP(B23,[1]list!$A:$W,23,FALSE),""),"0","")</f>
        <v/>
      </c>
      <c r="I23" t="str">
        <f>IFERROR(VLOOKUP(B23,[1]list!$A:$AB,28,FALSE),"")</f>
        <v>2003026</v>
      </c>
    </row>
    <row r="24" spans="1:9">
      <c r="A24">
        <v>22</v>
      </c>
      <c r="B24" t="s">
        <v>85</v>
      </c>
      <c r="C24" t="str">
        <f>IFERROR(VLOOKUP(B24,[1]list!$A:$B,2,FALSE),"")</f>
        <v>セシルボッカラ</v>
      </c>
      <c r="D24" t="s">
        <v>472</v>
      </c>
      <c r="E24" s="6" t="str">
        <f>IFERROR(VLOOKUP(B24,[1]list!$A:$Z,26,FALSE),"")</f>
        <v>上質なシルクや天然素材を使用したハンドメイドのアクセサリー</v>
      </c>
      <c r="F24" s="11" t="s">
        <v>3582</v>
      </c>
      <c r="G24" t="str">
        <f t="shared" si="0"/>
        <v>CECILE BOCCARA セシルボッカラ</v>
      </c>
      <c r="H24" t="str">
        <f>SUBSTITUTE(IFERROR(VLOOKUP(B24,[1]list!$A:$W,23,FALSE),""),"0","")</f>
        <v/>
      </c>
      <c r="I24" t="str">
        <f>IFERROR(VLOOKUP(B24,[1]list!$A:$AB,28,FALSE),"")</f>
        <v>2003027</v>
      </c>
    </row>
    <row r="25" spans="1:9">
      <c r="A25">
        <v>23</v>
      </c>
      <c r="B25" t="s">
        <v>86</v>
      </c>
      <c r="C25" t="str">
        <f>IFERROR(VLOOKUP(B25,[1]list!$A:$B,2,FALSE),"")</f>
        <v>チャンルー</v>
      </c>
      <c r="D25" t="s">
        <v>473</v>
      </c>
      <c r="E25" s="6" t="str">
        <f>IFERROR(VLOOKUP(B25,[1]list!$A:$Z,26,FALSE),"")</f>
        <v>世界中にファンを広げる、今注目のブランド、チャンルー</v>
      </c>
      <c r="F25" s="12" t="s">
        <v>3583</v>
      </c>
      <c r="G25" t="str">
        <f t="shared" si="0"/>
        <v>CHAN LUU チャンルー</v>
      </c>
      <c r="H25" t="str">
        <f>SUBSTITUTE(IFERROR(VLOOKUP(B25,[1]list!$A:$W,23,FALSE),""),"0","")</f>
        <v/>
      </c>
      <c r="I25" t="str">
        <f>IFERROR(VLOOKUP(B25,[1]list!$A:$AB,28,FALSE),"")</f>
        <v>2003028</v>
      </c>
    </row>
    <row r="26" spans="1:9">
      <c r="A26">
        <v>24</v>
      </c>
      <c r="B26" t="s">
        <v>98</v>
      </c>
      <c r="C26" t="str">
        <f>IFERROR(VLOOKUP(B26,[1]list!$A:$B,2,FALSE),"")</f>
        <v>メデュース</v>
      </c>
      <c r="D26" t="s">
        <v>485</v>
      </c>
      <c r="E26" s="6" t="str">
        <f>IFERROR(VLOOKUP(B26,[1]list!$A:$Z,26,FALSE),"")</f>
        <v>MADE IN FRANCEのデザインとクオリティでヨーロッパ各国で愛されているブランド</v>
      </c>
      <c r="F26" s="12" t="s">
        <v>3584</v>
      </c>
      <c r="G26" t="str">
        <f t="shared" si="0"/>
        <v>MEDUSE メデュース</v>
      </c>
      <c r="H26" t="str">
        <f>SUBSTITUTE(IFERROR(VLOOKUP(B26,[1]list!$A:$W,23,FALSE),""),"0","")</f>
        <v/>
      </c>
      <c r="I26" t="str">
        <f>IFERROR(VLOOKUP(B26,[1]list!$A:$AB,28,FALSE),"")</f>
        <v>2003029</v>
      </c>
    </row>
    <row r="27" spans="1:9">
      <c r="A27">
        <v>25</v>
      </c>
      <c r="B27" t="s">
        <v>105</v>
      </c>
      <c r="C27" t="str">
        <f>IFERROR(VLOOKUP(B27,[1]list!$A:$B,2,FALSE),"")</f>
        <v>スウィルデンズ</v>
      </c>
      <c r="D27" t="s">
        <v>492</v>
      </c>
      <c r="E27" s="6" t="str">
        <f>IFERROR(VLOOKUP(B27,[1]list!$A:$Z,26,FALSE),"")</f>
        <v>ボヘミアン、シック、ロック、クラシックなど様々なエレメンツを詰め込んだ、タイムレスなデザイン</v>
      </c>
      <c r="F27" s="12" t="s">
        <v>3585</v>
      </c>
      <c r="G27" t="str">
        <f t="shared" si="0"/>
        <v>SWILDENS スウィルデンズ</v>
      </c>
      <c r="H27" t="str">
        <f>SUBSTITUTE(IFERROR(VLOOKUP(B27,[1]list!$A:$W,23,FALSE),""),"0","")</f>
        <v/>
      </c>
      <c r="I27" t="str">
        <f>IFERROR(VLOOKUP(B27,[1]list!$A:$AB,28,FALSE),"")</f>
        <v>2004031</v>
      </c>
    </row>
    <row r="28" spans="1:9">
      <c r="A28">
        <v>26</v>
      </c>
      <c r="B28" t="s">
        <v>69</v>
      </c>
      <c r="C28" t="str">
        <f>IFERROR(VLOOKUP(B28,[1]list!$A:$B,2,FALSE),"")</f>
        <v>ベンシモン</v>
      </c>
      <c r="D28" s="4" t="s">
        <v>3557</v>
      </c>
      <c r="E28" s="6" t="str">
        <f>IFERROR(VLOOKUP(B28,[1]list!$A:$Z,26,FALSE),"")</f>
        <v>パリジェンヌから愛されているスニーカーブランド、ベンシモン</v>
      </c>
      <c r="F28" s="12" t="s">
        <v>3559</v>
      </c>
      <c r="G28" t="str">
        <f t="shared" si="0"/>
        <v>BENSIMON ベンシモン</v>
      </c>
      <c r="H28" t="str">
        <f>SUBSTITUTE(IFERROR(VLOOKUP(B28,[1]list!$A:$W,23,FALSE),""),"0","")</f>
        <v/>
      </c>
      <c r="I28" t="str">
        <f>IFERROR(VLOOKUP(B28,[1]list!$A:$AB,28,FALSE),"")</f>
        <v>2004032</v>
      </c>
    </row>
    <row r="29" spans="1:9">
      <c r="A29">
        <v>27</v>
      </c>
      <c r="B29" t="s">
        <v>70</v>
      </c>
      <c r="C29" t="str">
        <f>IFERROR(VLOOKUP(B29,[1]list!$A:$B,2,FALSE),"")</f>
        <v>ビルケンシュトック</v>
      </c>
      <c r="D29" t="s">
        <v>456</v>
      </c>
      <c r="E29" s="6" t="str">
        <f>IFERROR(VLOOKUP(B29,[1]list!$A:$Z,26,FALSE),"")</f>
        <v>240年以上の歴史のあるドイツの靴ブランド</v>
      </c>
      <c r="F29" s="12" t="s">
        <v>3587</v>
      </c>
      <c r="G29" t="str">
        <f t="shared" si="0"/>
        <v>BIRKENSTOCK ビルケンシュトック</v>
      </c>
      <c r="H29" t="str">
        <f>SUBSTITUTE(IFERROR(VLOOKUP(B29,[1]list!$A:$W,23,FALSE),""),"0","")</f>
        <v/>
      </c>
      <c r="I29" t="str">
        <f>IFERROR(VLOOKUP(B29,[1]list!$A:$AB,28,FALSE),"")</f>
        <v>2004033</v>
      </c>
    </row>
    <row r="30" spans="1:9">
      <c r="A30">
        <v>28</v>
      </c>
      <c r="B30" t="s">
        <v>99</v>
      </c>
      <c r="C30" t="str">
        <f>IFERROR(VLOOKUP(B30,[1]list!$A:$B,2,FALSE),"")</f>
        <v>ミュールバウアー</v>
      </c>
      <c r="D30" t="s">
        <v>486</v>
      </c>
      <c r="E30" s="6" t="str">
        <f>IFERROR(VLOOKUP(B30,[1]list!$A:$Z,26,FALSE),"")</f>
        <v>1903年にオーストリア・ウィーンで創業された老舗帽子ブランド</v>
      </c>
      <c r="F30" s="11" t="s">
        <v>3586</v>
      </c>
      <c r="G30" t="str">
        <f t="shared" si="0"/>
        <v>MUHLBAUER ミュールバウアー</v>
      </c>
      <c r="H30" t="str">
        <f>SUBSTITUTE(IFERROR(VLOOKUP(B30,[1]list!$A:$W,23,FALSE),""),"0","")</f>
        <v/>
      </c>
      <c r="I30" t="str">
        <f>IFERROR(VLOOKUP(B30,[1]list!$A:$AB,28,FALSE),"")</f>
        <v>2004036</v>
      </c>
    </row>
    <row r="31" spans="1:9">
      <c r="A31">
        <v>29</v>
      </c>
      <c r="B31" t="s">
        <v>97</v>
      </c>
      <c r="C31" t="str">
        <f>IFERROR(VLOOKUP(B31,[1]list!$A:$B,2,FALSE),"")</f>
        <v>モーリスマニュファクチュール</v>
      </c>
      <c r="D31" t="s">
        <v>484</v>
      </c>
      <c r="E31" s="6" t="str">
        <f>IFERROR(VLOOKUP(B31,[1]list!$A:$Z,26,FALSE),"")</f>
        <v>フランスのショレでスタートしたファクトリーブランド</v>
      </c>
      <c r="F31" s="11" t="s">
        <v>3588</v>
      </c>
      <c r="G31" t="str">
        <f t="shared" si="0"/>
        <v>MAURICE MANUFACTURE モーリスマニュファクチュール</v>
      </c>
      <c r="H31" t="str">
        <f>SUBSTITUTE(IFERROR(VLOOKUP(B31,[1]list!$A:$W,23,FALSE),""),"0","")</f>
        <v/>
      </c>
      <c r="I31" t="str">
        <f>IFERROR(VLOOKUP(B31,[1]list!$A:$AB,28,FALSE),"")</f>
        <v>2004037</v>
      </c>
    </row>
    <row r="32" spans="1:9">
      <c r="A32">
        <v>30</v>
      </c>
      <c r="B32" t="s">
        <v>82</v>
      </c>
      <c r="C32" t="str">
        <f>IFERROR(VLOOKUP(B32,[1]list!$A:$B,2,FALSE),"")</f>
        <v>アニエル</v>
      </c>
      <c r="D32" t="s">
        <v>3589</v>
      </c>
      <c r="E32" s="6" t="str">
        <f>IFERROR(VLOOKUP(B32,[1]list!$A:$Z,26,FALSE),"")</f>
        <v>機能性や履き心地とともに、女性的でしなやかなフォルムが魅力</v>
      </c>
      <c r="F32" s="11" t="s">
        <v>3592</v>
      </c>
      <c r="G32" t="str">
        <f t="shared" si="0"/>
        <v>ANNIEL アニエル</v>
      </c>
      <c r="H32" t="str">
        <f>SUBSTITUTE(IFERROR(VLOOKUP(B32,[1]list!$A:$W,23,FALSE),""),"0","")</f>
        <v/>
      </c>
      <c r="I32" t="str">
        <f>IFERROR(VLOOKUP(B32,[1]list!$A:$AB,28,FALSE),"")</f>
        <v>2005042</v>
      </c>
    </row>
    <row r="33" spans="1:9">
      <c r="A33">
        <v>31</v>
      </c>
      <c r="B33" t="s">
        <v>92</v>
      </c>
      <c r="C33" t="str">
        <f>IFERROR(VLOOKUP(B33,[1]list!$A:$B,2,FALSE),"")</f>
        <v>ヒューマノイド</v>
      </c>
      <c r="D33" t="s">
        <v>3590</v>
      </c>
      <c r="E33" s="6" t="str">
        <f>IFERROR(VLOOKUP(B33,[1]list!$A:$Z,26,FALSE),"")</f>
        <v>シンプルでありながらフェミニンなデザインが好評のヒューマノイド</v>
      </c>
      <c r="F33" s="12" t="s">
        <v>3591</v>
      </c>
      <c r="G33" t="str">
        <f t="shared" si="0"/>
        <v>HUMANOID ヒューマノイド</v>
      </c>
      <c r="H33" t="str">
        <f>SUBSTITUTE(IFERROR(VLOOKUP(B33,[1]list!$A:$W,23,FALSE),""),"0","")</f>
        <v/>
      </c>
      <c r="I33" t="str">
        <f>IFERROR(VLOOKUP(B33,[1]list!$A:$AB,28,FALSE),"")</f>
        <v>2005043</v>
      </c>
    </row>
  </sheetData>
  <sortState ref="B2:I40">
    <sortCondition descending="1" ref="H2:H40"/>
    <sortCondition ref="I2:I40"/>
    <sortCondition ref="B2:B40"/>
  </sortState>
  <phoneticPr fontId="18"/>
  <pageMargins left="0.7" right="0.7" top="0.75" bottom="0.75"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D13"/>
  <sheetViews>
    <sheetView workbookViewId="0">
      <selection activeCell="B7" sqref="B7"/>
    </sheetView>
  </sheetViews>
  <sheetFormatPr defaultRowHeight="13.5"/>
  <cols>
    <col min="2" max="2" width="22.875" bestFit="1" customWidth="1"/>
    <col min="3" max="3" width="32.625" customWidth="1"/>
    <col min="4" max="4" width="29.125" bestFit="1" customWidth="1"/>
  </cols>
  <sheetData>
    <row r="1" spans="1:4">
      <c r="A1" t="s">
        <v>1908</v>
      </c>
      <c r="B1" t="s">
        <v>2639</v>
      </c>
      <c r="C1" t="s">
        <v>1907</v>
      </c>
      <c r="D1" t="s">
        <v>2638</v>
      </c>
    </row>
    <row r="2" spans="1:4">
      <c r="A2">
        <v>0</v>
      </c>
      <c r="B2" t="str">
        <f>'nav.baby-items'!B2</f>
        <v>ワンピース</v>
      </c>
      <c r="C2" t="str">
        <f>'nav.baby-items'!C2</f>
        <v>/fs/lilietnene/c/item-b-dress-all</v>
      </c>
      <c r="D2" t="str">
        <f>SUBSTITUTE(SUBSTITUTE(C2,"/fs/lilietnene/c/",""),"-all","")</f>
        <v>item-b-dress</v>
      </c>
    </row>
    <row r="3" spans="1:4">
      <c r="A3">
        <v>1</v>
      </c>
      <c r="B3" t="str">
        <f>'nav.baby-items'!B3</f>
        <v>トップス</v>
      </c>
      <c r="C3" t="str">
        <f>'nav.baby-items'!C3</f>
        <v>/fs/lilietnene/c/item-b-tops-all</v>
      </c>
      <c r="D3" t="str">
        <f t="shared" ref="D3:D13" si="0">SUBSTITUTE(SUBSTITUTE(C3,"/fs/lilietnene/c/",""),"-all","")</f>
        <v>item-b-tops</v>
      </c>
    </row>
    <row r="4" spans="1:4">
      <c r="A4">
        <v>2</v>
      </c>
      <c r="B4" t="str">
        <f>'nav.baby-items'!B4</f>
        <v>ボトムス</v>
      </c>
      <c r="C4" t="str">
        <f>'nav.baby-items'!C4</f>
        <v>/fs/lilietnene/c/item-b-bottoms-all</v>
      </c>
      <c r="D4" t="str">
        <f t="shared" si="0"/>
        <v>item-b-bottoms</v>
      </c>
    </row>
    <row r="5" spans="1:4">
      <c r="A5">
        <v>3</v>
      </c>
      <c r="B5" t="str">
        <f>'nav.baby-items'!B5</f>
        <v>シューズ</v>
      </c>
      <c r="C5" t="str">
        <f>'nav.baby-items'!C5</f>
        <v>/fs/lilietnene/c/item-b-shoes-all</v>
      </c>
      <c r="D5" t="str">
        <f t="shared" si="0"/>
        <v>item-b-shoes</v>
      </c>
    </row>
    <row r="6" spans="1:4">
      <c r="A6">
        <v>4</v>
      </c>
      <c r="B6" t="str">
        <f>'nav.baby-items'!B6</f>
        <v>アクセサリ・グッズ</v>
      </c>
      <c r="C6" t="str">
        <f>'nav.baby-items'!C6</f>
        <v>/fs/lilietnene/c/item-b-acc-goods-all</v>
      </c>
      <c r="D6" t="str">
        <f t="shared" si="0"/>
        <v>item-b-acc-goods</v>
      </c>
    </row>
    <row r="7" spans="1:4">
      <c r="A7">
        <v>5</v>
      </c>
      <c r="B7" t="str">
        <f>'nav.baby-items'!B7</f>
        <v>インナー・パジャマ</v>
      </c>
      <c r="C7" t="str">
        <f>'nav.baby-items'!C7</f>
        <v>/fs/lilietnene/c/item-b-roomwear-all</v>
      </c>
      <c r="D7" t="str">
        <f t="shared" si="0"/>
        <v>item-b-roomwear</v>
      </c>
    </row>
    <row r="8" spans="1:4">
      <c r="A8">
        <v>6</v>
      </c>
      <c r="B8" t="str">
        <f>'nav.baby-items'!B8</f>
        <v>アウター</v>
      </c>
      <c r="C8" t="str">
        <f>'nav.baby-items'!C8</f>
        <v>/fs/lilietnene/c/item-b-outer-all</v>
      </c>
      <c r="D8" t="str">
        <f t="shared" si="0"/>
        <v>item-b-outer</v>
      </c>
    </row>
    <row r="9" spans="1:4">
      <c r="A9">
        <v>7</v>
      </c>
      <c r="B9" t="str">
        <f>'nav.baby-items'!B9</f>
        <v>スイムウエア</v>
      </c>
      <c r="C9" t="str">
        <f>'nav.baby-items'!C9</f>
        <v>/fs/lilietnene/c/item-b-swimwear</v>
      </c>
      <c r="D9" t="str">
        <f t="shared" si="0"/>
        <v>item-b-swimwear</v>
      </c>
    </row>
    <row r="10" spans="1:4">
      <c r="A10">
        <v>8</v>
      </c>
      <c r="B10" t="str">
        <f>'nav.baby-items'!B10</f>
        <v>ロンパース</v>
      </c>
      <c r="C10" t="str">
        <f>'nav.baby-items'!C10</f>
        <v>/fs/lilietnene/c/item-b-rompers-all</v>
      </c>
      <c r="D10" t="str">
        <f t="shared" si="0"/>
        <v>item-b-rompers</v>
      </c>
    </row>
    <row r="11" spans="1:4">
      <c r="A11">
        <v>9</v>
      </c>
      <c r="B11" t="str">
        <f>'nav.baby-items'!B11</f>
        <v>タイツ・ソックス</v>
      </c>
      <c r="C11" t="str">
        <f>'nav.baby-items'!C11</f>
        <v>/fs/lilietnene/c/item-b-acc-goods-tights-socks</v>
      </c>
      <c r="D11" t="str">
        <f t="shared" si="0"/>
        <v>item-b-acc-goods-tights-socks</v>
      </c>
    </row>
    <row r="12" spans="1:4">
      <c r="A12">
        <v>10</v>
      </c>
      <c r="B12" t="str">
        <f>'nav.baby-items'!B12</f>
        <v>レギンス</v>
      </c>
      <c r="C12" t="str">
        <f>'nav.baby-items'!C12</f>
        <v>/fs/lilietnene/c/item-b-bottoms-leggins</v>
      </c>
      <c r="D12" t="str">
        <f t="shared" si="0"/>
        <v>item-b-bottoms-leggins</v>
      </c>
    </row>
    <row r="13" spans="1:4">
      <c r="A13">
        <v>11</v>
      </c>
      <c r="B13" t="str">
        <f>'nav.baby-items'!B13</f>
        <v>ボーイズ</v>
      </c>
      <c r="C13" t="str">
        <f>'nav.baby-items'!C13</f>
        <v>/fs/lilietnene/c/item-b-boys-all</v>
      </c>
      <c r="D13" t="str">
        <f t="shared" si="0"/>
        <v>item-b-boys</v>
      </c>
    </row>
  </sheetData>
  <phoneticPr fontId="18"/>
  <pageMargins left="0.7" right="0.7" top="0.75" bottom="0.75" header="0.3" footer="0.3"/>
  <pageSetup paperSize="9"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D13"/>
  <sheetViews>
    <sheetView workbookViewId="0">
      <selection activeCell="D13" sqref="D13"/>
    </sheetView>
  </sheetViews>
  <sheetFormatPr defaultRowHeight="13.5"/>
  <cols>
    <col min="3" max="3" width="38.375" customWidth="1"/>
  </cols>
  <sheetData>
    <row r="1" spans="1:4">
      <c r="A1" t="s">
        <v>1906</v>
      </c>
      <c r="B1" t="s">
        <v>9</v>
      </c>
      <c r="C1" t="s">
        <v>1905</v>
      </c>
      <c r="D1" t="s">
        <v>2276</v>
      </c>
    </row>
    <row r="2" spans="1:4">
      <c r="A2">
        <v>1</v>
      </c>
      <c r="B2" t="s">
        <v>108</v>
      </c>
      <c r="C2" t="str">
        <f>ref!$B$4&amp;ref!$B$5&amp;"item-k-dress-all"</f>
        <v>/fs/lilietnene/c/item-k-dress-all</v>
      </c>
      <c r="D2" t="str">
        <f>SUBSTITUTE(SUBSTITUTE(C2,"/fs/lilietnene/c/",""),"-all","")</f>
        <v>item-k-dress</v>
      </c>
    </row>
    <row r="3" spans="1:4">
      <c r="A3">
        <v>2</v>
      </c>
      <c r="B3" t="s">
        <v>109</v>
      </c>
      <c r="C3" t="str">
        <f>ref!$B$4&amp;ref!$B$5&amp;"item-k-tops-all"</f>
        <v>/fs/lilietnene/c/item-k-tops-all</v>
      </c>
      <c r="D3" t="str">
        <f t="shared" ref="D3:D13" si="0">SUBSTITUTE(SUBSTITUTE(C3,"/fs/lilietnene/c/",""),"-all","")</f>
        <v>item-k-tops</v>
      </c>
    </row>
    <row r="4" spans="1:4">
      <c r="A4">
        <v>3</v>
      </c>
      <c r="B4" t="s">
        <v>110</v>
      </c>
      <c r="C4" t="str">
        <f>ref!$B$4&amp;ref!$B$5&amp;"item-k-bottoms-all"</f>
        <v>/fs/lilietnene/c/item-k-bottoms-all</v>
      </c>
      <c r="D4" t="str">
        <f t="shared" si="0"/>
        <v>item-k-bottoms</v>
      </c>
    </row>
    <row r="5" spans="1:4">
      <c r="A5">
        <v>4</v>
      </c>
      <c r="B5" t="s">
        <v>129</v>
      </c>
      <c r="C5" t="str">
        <f>ref!$B$4&amp;ref!$B$5&amp;"item-k-inner-pajamas"</f>
        <v>/fs/lilietnene/c/item-k-inner-pajamas</v>
      </c>
      <c r="D5" t="str">
        <f t="shared" si="0"/>
        <v>item-k-inner-pajamas</v>
      </c>
    </row>
    <row r="6" spans="1:4">
      <c r="A6">
        <v>5</v>
      </c>
      <c r="B6" t="s">
        <v>111</v>
      </c>
      <c r="C6" t="str">
        <f>ref!$B$4&amp;ref!$B$5&amp;"item-k-shoes-all"</f>
        <v>/fs/lilietnene/c/item-k-shoes-all</v>
      </c>
      <c r="D6" t="str">
        <f t="shared" si="0"/>
        <v>item-k-shoes</v>
      </c>
    </row>
    <row r="7" spans="1:4">
      <c r="A7">
        <v>6</v>
      </c>
      <c r="B7" t="s">
        <v>112</v>
      </c>
      <c r="C7" t="str">
        <f>ref!$B$4&amp;ref!$B$5&amp;"item-k-acc-goods-all"</f>
        <v>/fs/lilietnene/c/item-k-acc-goods-all</v>
      </c>
      <c r="D7" t="str">
        <f t="shared" si="0"/>
        <v>item-k-acc-goods</v>
      </c>
    </row>
    <row r="8" spans="1:4">
      <c r="A8">
        <v>7</v>
      </c>
      <c r="B8" t="s">
        <v>116</v>
      </c>
      <c r="C8" t="str">
        <f>ref!$B$4&amp;ref!$B$5&amp;"item-k-acc-goods-tights-socks"</f>
        <v>/fs/lilietnene/c/item-k-acc-goods-tights-socks</v>
      </c>
      <c r="D8" t="str">
        <f t="shared" si="0"/>
        <v>item-k-acc-goods-tights-socks</v>
      </c>
    </row>
    <row r="9" spans="1:4">
      <c r="A9">
        <v>8</v>
      </c>
      <c r="B9" t="s">
        <v>117</v>
      </c>
      <c r="C9" t="str">
        <f>ref!$B$4&amp;ref!$B$5&amp;"item-k-bottoms-leggins"</f>
        <v>/fs/lilietnene/c/item-k-bottoms-leggins</v>
      </c>
      <c r="D9" t="str">
        <f t="shared" si="0"/>
        <v>item-k-bottoms-leggins</v>
      </c>
    </row>
    <row r="10" spans="1:4">
      <c r="A10">
        <v>9</v>
      </c>
      <c r="B10" t="s">
        <v>113</v>
      </c>
      <c r="C10" t="str">
        <f>ref!$B$4&amp;ref!$B$5&amp;"item-k-outer-all"</f>
        <v>/fs/lilietnene/c/item-k-outer-all</v>
      </c>
      <c r="D10" t="str">
        <f t="shared" si="0"/>
        <v>item-k-outer</v>
      </c>
    </row>
    <row r="11" spans="1:4">
      <c r="A11">
        <v>10</v>
      </c>
      <c r="B11" t="s">
        <v>130</v>
      </c>
      <c r="C11" t="str">
        <f>ref!$B$4&amp;ref!$B$5&amp;"item-k-swimwear"</f>
        <v>/fs/lilietnene/c/item-k-swimwear</v>
      </c>
      <c r="D11" t="str">
        <f t="shared" si="0"/>
        <v>item-k-swimwear</v>
      </c>
    </row>
    <row r="12" spans="1:4">
      <c r="A12">
        <v>11</v>
      </c>
      <c r="B12" t="s">
        <v>131</v>
      </c>
      <c r="C12" t="str">
        <f>ref!$B$4&amp;ref!$B$5&amp;"repetto"</f>
        <v>/fs/lilietnene/c/repetto</v>
      </c>
      <c r="D12" s="4" t="s">
        <v>2277</v>
      </c>
    </row>
    <row r="13" spans="1:4">
      <c r="A13">
        <v>12</v>
      </c>
      <c r="B13" t="s">
        <v>118</v>
      </c>
      <c r="C13" t="str">
        <f>ref!$B$4&amp;ref!$B$5&amp;"item-k-boys-all"</f>
        <v>/fs/lilietnene/c/item-k-boys-all</v>
      </c>
      <c r="D13" t="str">
        <f t="shared" si="0"/>
        <v>item-k-boys</v>
      </c>
    </row>
  </sheetData>
  <phoneticPr fontId="18"/>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E18"/>
  <sheetViews>
    <sheetView workbookViewId="0">
      <selection activeCell="E35" sqref="E35"/>
    </sheetView>
  </sheetViews>
  <sheetFormatPr defaultRowHeight="13.5"/>
  <cols>
    <col min="3" max="3" width="42.5" bestFit="1" customWidth="1"/>
  </cols>
  <sheetData>
    <row r="1" spans="1:5">
      <c r="A1" t="s">
        <v>1930</v>
      </c>
      <c r="B1" t="s">
        <v>9</v>
      </c>
      <c r="C1" t="s">
        <v>1929</v>
      </c>
      <c r="D1" t="s">
        <v>2276</v>
      </c>
      <c r="E1" t="s">
        <v>1928</v>
      </c>
    </row>
    <row r="2" spans="1:5">
      <c r="A2">
        <v>0</v>
      </c>
      <c r="B2" t="s">
        <v>108</v>
      </c>
      <c r="C2" t="s">
        <v>2278</v>
      </c>
      <c r="D2" t="str">
        <f>SUBSTITUTE(SUBSTITUTE(C2,"/fs/lilietnene/c/",""),"-all","")</f>
        <v>item-l-dress</v>
      </c>
    </row>
    <row r="3" spans="1:5">
      <c r="A3">
        <v>1</v>
      </c>
      <c r="B3" t="s">
        <v>109</v>
      </c>
      <c r="C3" t="s">
        <v>2279</v>
      </c>
      <c r="D3" t="str">
        <f t="shared" ref="D3:D18" si="0">SUBSTITUTE(SUBSTITUTE(C3,"/fs/lilietnene/c/",""),"-all","")</f>
        <v>item-l-tops</v>
      </c>
    </row>
    <row r="4" spans="1:5">
      <c r="A4">
        <v>2</v>
      </c>
      <c r="B4" t="s">
        <v>110</v>
      </c>
      <c r="C4" t="s">
        <v>2280</v>
      </c>
      <c r="D4" t="str">
        <f t="shared" si="0"/>
        <v>item-l-bottoms</v>
      </c>
    </row>
    <row r="5" spans="1:5">
      <c r="A5">
        <v>3</v>
      </c>
      <c r="B5" t="s">
        <v>113</v>
      </c>
      <c r="C5" t="s">
        <v>2281</v>
      </c>
      <c r="D5" t="str">
        <f t="shared" si="0"/>
        <v>item-l-outer</v>
      </c>
    </row>
    <row r="6" spans="1:5">
      <c r="A6">
        <v>4</v>
      </c>
      <c r="B6" t="s">
        <v>158</v>
      </c>
      <c r="C6" t="s">
        <v>3264</v>
      </c>
      <c r="D6" t="str">
        <f t="shared" si="0"/>
        <v>item-l-acc-goods-bag</v>
      </c>
    </row>
    <row r="7" spans="1:5">
      <c r="A7">
        <v>5</v>
      </c>
      <c r="B7" t="s">
        <v>159</v>
      </c>
      <c r="C7" t="s">
        <v>3265</v>
      </c>
      <c r="D7" t="str">
        <f t="shared" si="0"/>
        <v>item-l-acc-goods-scarf-stole</v>
      </c>
    </row>
    <row r="8" spans="1:5">
      <c r="A8">
        <v>6</v>
      </c>
      <c r="B8" t="s">
        <v>3244</v>
      </c>
      <c r="C8" t="s">
        <v>3267</v>
      </c>
      <c r="D8" t="str">
        <f t="shared" si="0"/>
        <v>item-l-acc-goods-necklace</v>
      </c>
    </row>
    <row r="9" spans="1:5">
      <c r="A9">
        <v>7</v>
      </c>
      <c r="B9" t="s">
        <v>3245</v>
      </c>
      <c r="C9" t="s">
        <v>3269</v>
      </c>
      <c r="D9" t="str">
        <f t="shared" si="0"/>
        <v>item-l-acc-goods-bracelet-rings</v>
      </c>
    </row>
    <row r="10" spans="1:5">
      <c r="A10">
        <v>8</v>
      </c>
      <c r="B10" t="s">
        <v>3246</v>
      </c>
      <c r="C10" t="s">
        <v>3271</v>
      </c>
      <c r="D10" t="str">
        <f t="shared" si="0"/>
        <v>item-l-acc-goods-earrings</v>
      </c>
    </row>
    <row r="11" spans="1:5">
      <c r="A11">
        <v>9</v>
      </c>
      <c r="B11" t="s">
        <v>3241</v>
      </c>
      <c r="C11" t="s">
        <v>3272</v>
      </c>
      <c r="D11" t="str">
        <f t="shared" si="0"/>
        <v>item-l-acc-goods-hats-caps</v>
      </c>
    </row>
    <row r="12" spans="1:5">
      <c r="A12">
        <v>10</v>
      </c>
      <c r="B12" t="s">
        <v>116</v>
      </c>
      <c r="C12" t="s">
        <v>3274</v>
      </c>
      <c r="D12" t="str">
        <f t="shared" si="0"/>
        <v>item-l-acc-goods-tights-socks</v>
      </c>
    </row>
    <row r="13" spans="1:5">
      <c r="A13">
        <v>11</v>
      </c>
      <c r="B13" t="s">
        <v>3247</v>
      </c>
      <c r="C13" t="s">
        <v>3276</v>
      </c>
      <c r="D13" t="str">
        <f t="shared" si="0"/>
        <v>item-l-shoes-pumps</v>
      </c>
    </row>
    <row r="14" spans="1:5">
      <c r="A14">
        <v>12</v>
      </c>
      <c r="B14" t="s">
        <v>3248</v>
      </c>
      <c r="C14" t="s">
        <v>3278</v>
      </c>
      <c r="D14" t="str">
        <f t="shared" si="0"/>
        <v>item-l-shoes-boots</v>
      </c>
    </row>
    <row r="15" spans="1:5">
      <c r="A15">
        <v>13</v>
      </c>
      <c r="B15" t="s">
        <v>3249</v>
      </c>
      <c r="C15" t="s">
        <v>3280</v>
      </c>
      <c r="D15" t="str">
        <f t="shared" si="0"/>
        <v>item-l-shoes-sandales</v>
      </c>
    </row>
    <row r="16" spans="1:5">
      <c r="A16">
        <v>14</v>
      </c>
      <c r="B16" t="s">
        <v>3250</v>
      </c>
      <c r="C16" t="s">
        <v>3282</v>
      </c>
      <c r="D16" t="str">
        <f t="shared" si="0"/>
        <v>item-l-shoes-sneakers</v>
      </c>
    </row>
    <row r="17" spans="1:4">
      <c r="A17">
        <v>15</v>
      </c>
      <c r="B17" t="s">
        <v>3251</v>
      </c>
      <c r="C17" t="s">
        <v>3284</v>
      </c>
      <c r="D17" t="str">
        <f t="shared" si="0"/>
        <v>item-l-shoes-rainshoes</v>
      </c>
    </row>
    <row r="18" spans="1:4">
      <c r="A18">
        <v>16</v>
      </c>
      <c r="B18" t="s">
        <v>3252</v>
      </c>
      <c r="C18" t="s">
        <v>3286</v>
      </c>
      <c r="D18" t="str">
        <f t="shared" si="0"/>
        <v>item-l-umbrella</v>
      </c>
    </row>
  </sheetData>
  <phoneticPr fontId="18"/>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C13"/>
  <sheetViews>
    <sheetView workbookViewId="0">
      <selection activeCell="E43" sqref="E43"/>
    </sheetView>
  </sheetViews>
  <sheetFormatPr defaultRowHeight="13.5"/>
  <cols>
    <col min="2" max="2" width="22.875" bestFit="1" customWidth="1"/>
  </cols>
  <sheetData>
    <row r="1" spans="1:3">
      <c r="A1" t="s">
        <v>1938</v>
      </c>
      <c r="B1" t="s">
        <v>9</v>
      </c>
      <c r="C1" t="s">
        <v>1937</v>
      </c>
    </row>
    <row r="2" spans="1:3">
      <c r="A2">
        <v>0</v>
      </c>
      <c r="B2" t="s">
        <v>108</v>
      </c>
      <c r="C2" t="str">
        <f>ref!$B$4&amp;ref!$B$5&amp;"item-b-dress-all"</f>
        <v>/fs/lilietnene/c/item-b-dress-all</v>
      </c>
    </row>
    <row r="3" spans="1:3">
      <c r="A3">
        <v>1</v>
      </c>
      <c r="B3" t="s">
        <v>109</v>
      </c>
      <c r="C3" t="str">
        <f>ref!$B$4&amp;ref!$B$5&amp;"item-b-tops-all"</f>
        <v>/fs/lilietnene/c/item-b-tops-all</v>
      </c>
    </row>
    <row r="4" spans="1:3">
      <c r="A4">
        <v>2</v>
      </c>
      <c r="B4" t="s">
        <v>110</v>
      </c>
      <c r="C4" t="str">
        <f>ref!$B$4&amp;ref!$B$5&amp;"item-b-bottoms-all"</f>
        <v>/fs/lilietnene/c/item-b-bottoms-all</v>
      </c>
    </row>
    <row r="5" spans="1:3">
      <c r="A5">
        <v>3</v>
      </c>
      <c r="B5" t="s">
        <v>111</v>
      </c>
      <c r="C5" t="str">
        <f>ref!$B$4&amp;ref!$B$5&amp;"item-b-shoes-all"</f>
        <v>/fs/lilietnene/c/item-b-shoes-all</v>
      </c>
    </row>
    <row r="6" spans="1:3">
      <c r="A6">
        <v>4</v>
      </c>
      <c r="B6" t="s">
        <v>112</v>
      </c>
      <c r="C6" t="str">
        <f>ref!$B$4&amp;ref!$B$5&amp;"item-b-acc-goods-all"</f>
        <v>/fs/lilietnene/c/item-b-acc-goods-all</v>
      </c>
    </row>
    <row r="7" spans="1:3">
      <c r="A7">
        <v>5</v>
      </c>
      <c r="B7" t="s">
        <v>3093</v>
      </c>
      <c r="C7" t="str">
        <f>ref!$B$4&amp;ref!$B$5&amp;"item-b-roomwear-all"</f>
        <v>/fs/lilietnene/c/item-b-roomwear-all</v>
      </c>
    </row>
    <row r="8" spans="1:3">
      <c r="A8">
        <v>6</v>
      </c>
      <c r="B8" t="s">
        <v>113</v>
      </c>
      <c r="C8" t="str">
        <f>ref!$B$4&amp;ref!$B$5&amp;"item-b-outer-all"</f>
        <v>/fs/lilietnene/c/item-b-outer-all</v>
      </c>
    </row>
    <row r="9" spans="1:3">
      <c r="A9">
        <v>7</v>
      </c>
      <c r="B9" t="s">
        <v>114</v>
      </c>
      <c r="C9" t="str">
        <f>ref!$B$4&amp;ref!$B$5&amp;"item-b-swimwear"</f>
        <v>/fs/lilietnene/c/item-b-swimwear</v>
      </c>
    </row>
    <row r="10" spans="1:3">
      <c r="A10">
        <v>8</v>
      </c>
      <c r="B10" t="s">
        <v>115</v>
      </c>
      <c r="C10" t="str">
        <f>ref!$B$4&amp;ref!$B$5&amp;"item-b-rompers-all"</f>
        <v>/fs/lilietnene/c/item-b-rompers-all</v>
      </c>
    </row>
    <row r="11" spans="1:3">
      <c r="A11">
        <v>9</v>
      </c>
      <c r="B11" t="s">
        <v>116</v>
      </c>
      <c r="C11" t="str">
        <f>ref!$B$4&amp;ref!$B$5&amp;"item-b-acc-goods-tights-socks"</f>
        <v>/fs/lilietnene/c/item-b-acc-goods-tights-socks</v>
      </c>
    </row>
    <row r="12" spans="1:3">
      <c r="A12">
        <v>10</v>
      </c>
      <c r="B12" t="s">
        <v>117</v>
      </c>
      <c r="C12" t="str">
        <f>ref!$B$4&amp;ref!$B$5&amp;"item-b-bottoms-leggins"</f>
        <v>/fs/lilietnene/c/item-b-bottoms-leggins</v>
      </c>
    </row>
    <row r="13" spans="1:3">
      <c r="A13">
        <v>11</v>
      </c>
      <c r="B13" t="s">
        <v>118</v>
      </c>
      <c r="C13" t="str">
        <f>ref!$B$4&amp;ref!$B$5&amp;"item-b-boys-all"</f>
        <v>/fs/lilietnene/c/item-b-boys-all</v>
      </c>
    </row>
  </sheetData>
  <phoneticPr fontId="18"/>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3"/>
  <sheetViews>
    <sheetView workbookViewId="0">
      <selection activeCell="C2" sqref="C2"/>
    </sheetView>
  </sheetViews>
  <sheetFormatPr defaultRowHeight="13.5"/>
  <sheetData>
    <row r="1" spans="1:3">
      <c r="A1" t="s">
        <v>1906</v>
      </c>
      <c r="B1" t="s">
        <v>9</v>
      </c>
      <c r="C1" t="s">
        <v>1905</v>
      </c>
    </row>
    <row r="2" spans="1:3">
      <c r="A2">
        <v>1</v>
      </c>
      <c r="B2" t="s">
        <v>108</v>
      </c>
      <c r="C2" t="str">
        <f>ref!$B$4&amp;ref!$B$5&amp;"item-k-dress-all"</f>
        <v>/fs/lilietnene/c/item-k-dress-all</v>
      </c>
    </row>
    <row r="3" spans="1:3">
      <c r="A3">
        <v>2</v>
      </c>
      <c r="B3" t="s">
        <v>109</v>
      </c>
      <c r="C3" t="str">
        <f>ref!$B$4&amp;ref!$B$5&amp;"item-k-tops-all"</f>
        <v>/fs/lilietnene/c/item-k-tops-all</v>
      </c>
    </row>
    <row r="4" spans="1:3">
      <c r="A4">
        <v>3</v>
      </c>
      <c r="B4" t="s">
        <v>110</v>
      </c>
      <c r="C4" t="str">
        <f>ref!$B$4&amp;ref!$B$5&amp;"item-k-bottoms-all"</f>
        <v>/fs/lilietnene/c/item-k-bottoms-all</v>
      </c>
    </row>
    <row r="5" spans="1:3">
      <c r="A5">
        <v>4</v>
      </c>
      <c r="B5" t="s">
        <v>129</v>
      </c>
      <c r="C5" t="str">
        <f>ref!$B$4&amp;ref!$B$5&amp;"item-k-inner-pajamas"</f>
        <v>/fs/lilietnene/c/item-k-inner-pajamas</v>
      </c>
    </row>
    <row r="6" spans="1:3">
      <c r="A6">
        <v>5</v>
      </c>
      <c r="B6" t="s">
        <v>111</v>
      </c>
      <c r="C6" t="str">
        <f>ref!$B$4&amp;ref!$B$5&amp;"item-k-shoes-all"</f>
        <v>/fs/lilietnene/c/item-k-shoes-all</v>
      </c>
    </row>
    <row r="7" spans="1:3">
      <c r="A7">
        <v>6</v>
      </c>
      <c r="B7" t="s">
        <v>112</v>
      </c>
      <c r="C7" t="str">
        <f>ref!$B$4&amp;ref!$B$5&amp;"item-k-acc-goods-all"</f>
        <v>/fs/lilietnene/c/item-k-acc-goods-all</v>
      </c>
    </row>
    <row r="8" spans="1:3">
      <c r="A8">
        <v>7</v>
      </c>
      <c r="B8" t="s">
        <v>116</v>
      </c>
      <c r="C8" t="str">
        <f>ref!$B$4&amp;ref!$B$5&amp;"item-k-acc-goods-tights-socks"</f>
        <v>/fs/lilietnene/c/item-k-acc-goods-tights-socks</v>
      </c>
    </row>
    <row r="9" spans="1:3">
      <c r="A9">
        <v>8</v>
      </c>
      <c r="B9" t="s">
        <v>117</v>
      </c>
      <c r="C9" t="str">
        <f>ref!$B$4&amp;ref!$B$5&amp;"item-k-bottoms-leggins"</f>
        <v>/fs/lilietnene/c/item-k-bottoms-leggins</v>
      </c>
    </row>
    <row r="10" spans="1:3">
      <c r="A10">
        <v>9</v>
      </c>
      <c r="B10" t="s">
        <v>113</v>
      </c>
      <c r="C10" t="str">
        <f>ref!$B$4&amp;ref!$B$5&amp;"item-k-outer-all"</f>
        <v>/fs/lilietnene/c/item-k-outer-all</v>
      </c>
    </row>
    <row r="11" spans="1:3">
      <c r="A11">
        <v>10</v>
      </c>
      <c r="B11" t="s">
        <v>130</v>
      </c>
      <c r="C11" t="str">
        <f>ref!$B$4&amp;ref!$B$5&amp;"item-k-swimwear"</f>
        <v>/fs/lilietnene/c/item-k-swimwear</v>
      </c>
    </row>
    <row r="12" spans="1:3">
      <c r="A12">
        <v>11</v>
      </c>
      <c r="B12" t="s">
        <v>131</v>
      </c>
      <c r="C12" t="str">
        <f>ref!$B$4&amp;ref!$B$5&amp;"repetto"</f>
        <v>/fs/lilietnene/c/repetto</v>
      </c>
    </row>
    <row r="13" spans="1:3">
      <c r="A13">
        <v>12</v>
      </c>
      <c r="B13" t="s">
        <v>118</v>
      </c>
      <c r="C13" t="str">
        <f>ref!$B$4&amp;ref!$B$5&amp;"item-k-boys-all"</f>
        <v>/fs/lilietnene/c/item-k-boys-all</v>
      </c>
    </row>
  </sheetData>
  <phoneticPr fontId="18"/>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8"/>
  <sheetViews>
    <sheetView workbookViewId="0">
      <selection activeCell="C2" sqref="C2"/>
    </sheetView>
  </sheetViews>
  <sheetFormatPr defaultRowHeight="13.5"/>
  <cols>
    <col min="2" max="2" width="16.25" bestFit="1" customWidth="1"/>
  </cols>
  <sheetData>
    <row r="1" spans="1:3">
      <c r="A1" t="s">
        <v>1948</v>
      </c>
      <c r="B1" t="s">
        <v>9</v>
      </c>
      <c r="C1" t="s">
        <v>1947</v>
      </c>
    </row>
    <row r="2" spans="1:3">
      <c r="A2">
        <v>0</v>
      </c>
      <c r="B2" t="s">
        <v>108</v>
      </c>
      <c r="C2" t="s">
        <v>2278</v>
      </c>
    </row>
    <row r="3" spans="1:3">
      <c r="A3">
        <v>1</v>
      </c>
      <c r="B3" t="s">
        <v>109</v>
      </c>
      <c r="C3" t="s">
        <v>2279</v>
      </c>
    </row>
    <row r="4" spans="1:3">
      <c r="A4">
        <v>2</v>
      </c>
      <c r="B4" t="s">
        <v>110</v>
      </c>
      <c r="C4" t="s">
        <v>2280</v>
      </c>
    </row>
    <row r="5" spans="1:3">
      <c r="A5">
        <v>3</v>
      </c>
      <c r="B5" t="s">
        <v>113</v>
      </c>
      <c r="C5" t="s">
        <v>2281</v>
      </c>
    </row>
    <row r="6" spans="1:3">
      <c r="A6">
        <v>4</v>
      </c>
      <c r="B6" t="s">
        <v>158</v>
      </c>
      <c r="C6" t="s">
        <v>3427</v>
      </c>
    </row>
    <row r="7" spans="1:3">
      <c r="A7">
        <v>5</v>
      </c>
      <c r="B7" t="s">
        <v>159</v>
      </c>
      <c r="C7" t="s">
        <v>3428</v>
      </c>
    </row>
    <row r="8" spans="1:3">
      <c r="A8">
        <v>6</v>
      </c>
      <c r="B8" t="s">
        <v>3424</v>
      </c>
      <c r="C8" t="s">
        <v>3426</v>
      </c>
    </row>
  </sheetData>
  <phoneticPr fontId="18"/>
  <pageMargins left="0.7" right="0.7" top="0.75" bottom="0.75" header="0.3" footer="0.3"/>
  <pageSetup paperSize="9" orientation="portrait" horizontalDpi="4294967293"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6"/>
  <sheetViews>
    <sheetView workbookViewId="0">
      <selection activeCell="G22" sqref="G22"/>
    </sheetView>
  </sheetViews>
  <sheetFormatPr defaultRowHeight="13.5"/>
  <cols>
    <col min="2" max="2" width="12.5" bestFit="1" customWidth="1"/>
  </cols>
  <sheetData>
    <row r="1" spans="1:3">
      <c r="A1" t="s">
        <v>1916</v>
      </c>
      <c r="B1" t="s">
        <v>1939</v>
      </c>
      <c r="C1" t="s">
        <v>1915</v>
      </c>
    </row>
    <row r="2" spans="1:3">
      <c r="A2">
        <v>0</v>
      </c>
      <c r="B2" t="s">
        <v>2641</v>
      </c>
      <c r="C2" t="str">
        <f>ref!$B$4&amp;SUBSTITUTE(ref!$B$6,"●","size-6M")</f>
        <v>/fs/lilietnene/GoodsSearchList.html?_e_k=%82%60&amp;keyword=size-6M&amp;searchBtn.x=0&amp;searchBtn.y=0</v>
      </c>
    </row>
    <row r="3" spans="1:3">
      <c r="A3">
        <v>1</v>
      </c>
      <c r="B3" t="s">
        <v>2642</v>
      </c>
      <c r="C3" t="str">
        <f>ref!$B$4&amp;SUBSTITUTE(ref!$B$6,"●","size-12M")</f>
        <v>/fs/lilietnene/GoodsSearchList.html?_e_k=%82%60&amp;keyword=size-12M&amp;searchBtn.x=0&amp;searchBtn.y=0</v>
      </c>
    </row>
    <row r="4" spans="1:3">
      <c r="A4">
        <v>2</v>
      </c>
      <c r="B4" t="s">
        <v>2643</v>
      </c>
      <c r="C4" t="str">
        <f>ref!$B$4&amp;SUBSTITUTE(ref!$B$6,"●","size-18M")</f>
        <v>/fs/lilietnene/GoodsSearchList.html?_e_k=%82%60&amp;keyword=size-18M&amp;searchBtn.x=0&amp;searchBtn.y=0</v>
      </c>
    </row>
    <row r="5" spans="1:3">
      <c r="A5">
        <v>3</v>
      </c>
      <c r="B5" t="s">
        <v>2644</v>
      </c>
      <c r="C5" t="str">
        <f>ref!$B$4&amp;SUBSTITUTE(ref!$B$6,"●","size-24M")</f>
        <v>/fs/lilietnene/GoodsSearchList.html?_e_k=%82%60&amp;keyword=size-24M&amp;searchBtn.x=0&amp;searchBtn.y=0</v>
      </c>
    </row>
    <row r="6" spans="1:3">
      <c r="A6">
        <v>4</v>
      </c>
      <c r="B6" t="s">
        <v>3234</v>
      </c>
      <c r="C6" t="s">
        <v>3236</v>
      </c>
    </row>
  </sheetData>
  <phoneticPr fontId="18"/>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11"/>
  <sheetViews>
    <sheetView workbookViewId="0">
      <selection activeCell="C10" sqref="C10"/>
    </sheetView>
  </sheetViews>
  <sheetFormatPr defaultRowHeight="13.5"/>
  <cols>
    <col min="2" max="2" width="9.25" customWidth="1"/>
  </cols>
  <sheetData>
    <row r="1" spans="1:3">
      <c r="A1" t="s">
        <v>1945</v>
      </c>
      <c r="B1" t="s">
        <v>1944</v>
      </c>
      <c r="C1" t="s">
        <v>1943</v>
      </c>
    </row>
    <row r="2" spans="1:3">
      <c r="A2">
        <v>0</v>
      </c>
      <c r="B2" t="s">
        <v>3224</v>
      </c>
      <c r="C2" t="str">
        <f>ref!$B$4&amp;SUBSTITUTE(ref!$B$6,"●","size-2A")</f>
        <v>/fs/lilietnene/GoodsSearchList.html?_e_k=%82%60&amp;keyword=size-2A&amp;searchBtn.x=0&amp;searchBtn.y=0</v>
      </c>
    </row>
    <row r="3" spans="1:3">
      <c r="A3">
        <v>1</v>
      </c>
      <c r="B3" t="s">
        <v>3226</v>
      </c>
      <c r="C3" t="str">
        <f>ref!$B$4&amp;SUBSTITUTE(ref!$B$6,"●","size-3A")</f>
        <v>/fs/lilietnene/GoodsSearchList.html?_e_k=%82%60&amp;keyword=size-3A&amp;searchBtn.x=0&amp;searchBtn.y=0</v>
      </c>
    </row>
    <row r="4" spans="1:3">
      <c r="A4">
        <v>2</v>
      </c>
      <c r="B4" t="s">
        <v>3228</v>
      </c>
      <c r="C4" t="str">
        <f>ref!$B$4&amp;SUBSTITUTE(ref!$B$6,"●","size-4A")</f>
        <v>/fs/lilietnene/GoodsSearchList.html?_e_k=%82%60&amp;keyword=size-4A&amp;searchBtn.x=0&amp;searchBtn.y=0</v>
      </c>
    </row>
    <row r="5" spans="1:3">
      <c r="A5">
        <v>3</v>
      </c>
      <c r="B5" t="s">
        <v>3230</v>
      </c>
      <c r="C5" t="str">
        <f>ref!$B$4&amp;SUBSTITUTE(ref!$B$6,"●","size-6A")</f>
        <v>/fs/lilietnene/GoodsSearchList.html?_e_k=%82%60&amp;keyword=size-6A&amp;searchBtn.x=0&amp;searchBtn.y=0</v>
      </c>
    </row>
    <row r="6" spans="1:3">
      <c r="A6">
        <v>4</v>
      </c>
      <c r="B6" t="s">
        <v>3232</v>
      </c>
      <c r="C6" t="str">
        <f>ref!$B$4&amp;SUBSTITUTE(ref!$B$6,"●","size-8A")</f>
        <v>/fs/lilietnene/GoodsSearchList.html?_e_k=%82%60&amp;keyword=size-8A&amp;searchBtn.x=0&amp;searchBtn.y=0</v>
      </c>
    </row>
    <row r="7" spans="1:3">
      <c r="A7">
        <v>5</v>
      </c>
      <c r="B7" t="s">
        <v>3416</v>
      </c>
      <c r="C7" t="str">
        <f>ref!$B$4&amp;SUBSTITUTE(ref!$B$6,"●","size-10A")</f>
        <v>/fs/lilietnene/GoodsSearchList.html?_e_k=%82%60&amp;keyword=size-10A&amp;searchBtn.x=0&amp;searchBtn.y=0</v>
      </c>
    </row>
    <row r="8" spans="1:3">
      <c r="A8">
        <v>6</v>
      </c>
      <c r="B8" t="s">
        <v>3418</v>
      </c>
      <c r="C8" t="str">
        <f>ref!$B$4&amp;SUBSTITUTE(ref!$B$6,"●","size-12A")</f>
        <v>/fs/lilietnene/GoodsSearchList.html?_e_k=%82%60&amp;keyword=size-12A&amp;searchBtn.x=0&amp;searchBtn.y=0</v>
      </c>
    </row>
    <row r="9" spans="1:3">
      <c r="A9">
        <v>7</v>
      </c>
      <c r="B9" t="s">
        <v>3420</v>
      </c>
      <c r="C9" t="str">
        <f>ref!$B$4&amp;SUBSTITUTE(ref!$B$6,"●","size-14A")</f>
        <v>/fs/lilietnene/GoodsSearchList.html?_e_k=%82%60&amp;keyword=size-14A&amp;searchBtn.x=0&amp;searchBtn.y=0</v>
      </c>
    </row>
    <row r="10" spans="1:3">
      <c r="A10">
        <v>8</v>
      </c>
      <c r="B10" t="s">
        <v>3422</v>
      </c>
      <c r="C10" t="str">
        <f>ref!$B$4&amp;SUBSTITUTE(ref!$B$6,"●","size-16A")</f>
        <v>/fs/lilietnene/GoodsSearchList.html?_e_k=%82%60&amp;keyword=size-16A&amp;searchBtn.x=0&amp;searchBtn.y=0</v>
      </c>
    </row>
    <row r="11" spans="1:3">
      <c r="A11">
        <v>9</v>
      </c>
      <c r="B11" t="s">
        <v>3234</v>
      </c>
      <c r="C11" t="s">
        <v>3236</v>
      </c>
    </row>
  </sheetData>
  <phoneticPr fontId="18"/>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1"/>
  <sheetViews>
    <sheetView workbookViewId="0">
      <selection activeCell="D32" sqref="D32"/>
    </sheetView>
  </sheetViews>
  <sheetFormatPr defaultRowHeight="13.5"/>
  <cols>
    <col min="2" max="2" width="19.25" bestFit="1" customWidth="1"/>
    <col min="3" max="3" width="19.25" customWidth="1"/>
    <col min="4" max="4" width="28.375" bestFit="1" customWidth="1"/>
  </cols>
  <sheetData>
    <row r="1" spans="1:6">
      <c r="A1" t="s">
        <v>1942</v>
      </c>
      <c r="B1" t="s">
        <v>3105</v>
      </c>
      <c r="C1" t="s">
        <v>1941</v>
      </c>
      <c r="D1" t="s">
        <v>1940</v>
      </c>
      <c r="E1" t="s">
        <v>3156</v>
      </c>
      <c r="F1" t="s">
        <v>2284</v>
      </c>
    </row>
    <row r="2" spans="1:6">
      <c r="A2">
        <v>0</v>
      </c>
      <c r="B2" t="s">
        <v>53</v>
      </c>
      <c r="C2" t="str">
        <f>IFERROR(VLOOKUP(B2,[1]list!$A:$B,2,FALSE),"")</f>
        <v>ボンポワン</v>
      </c>
      <c r="D2" t="str">
        <f>ref!$B$4&amp;ref!$B$5&amp;IFERROR(VLOOKUP(B2,[1]list!$A:$D,4,FALSE),"")&amp;LOWER(E2)</f>
        <v>/fs/lilietnene/c/bonpoint18ss</v>
      </c>
      <c r="E2" t="s">
        <v>3778</v>
      </c>
      <c r="F2" t="str">
        <f>IFERROR(VLOOKUP(B2,[1]list!$A:$AA,27,FALSE),"")</f>
        <v>1001002</v>
      </c>
    </row>
    <row r="3" spans="1:6">
      <c r="A3">
        <v>1</v>
      </c>
      <c r="B3" t="s">
        <v>55</v>
      </c>
      <c r="C3" t="str">
        <f>IFERROR(VLOOKUP(B3,[1]list!$A:$B,2,FALSE),"")</f>
        <v>キャラメル</v>
      </c>
      <c r="D3" t="str">
        <f>ref!$B$4&amp;ref!$B$5&amp;IFERROR(VLOOKUP(B3,[1]list!$A:$D,4,FALSE),"")&amp;LOWER(E3)</f>
        <v>/fs/lilietnene/c/caramel18ss</v>
      </c>
      <c r="E3" t="str">
        <f>SUBSTITUTE(IFERROR(VLOOKUP(B3,[1]list!$A:$W,23,FALSE),""),"0","")</f>
        <v>18SS</v>
      </c>
      <c r="F3" t="str">
        <f>IFERROR(VLOOKUP(B3,[1]list!$A:$AA,27,FALSE),"")</f>
        <v>1001003</v>
      </c>
    </row>
    <row r="4" spans="1:6">
      <c r="A4">
        <v>2</v>
      </c>
      <c r="B4" t="s">
        <v>54</v>
      </c>
      <c r="C4" t="str">
        <f>IFERROR(VLOOKUP(B4,[1]list!$A:$B,2,FALSE),"")</f>
        <v>ボントン</v>
      </c>
      <c r="D4" t="str">
        <f>ref!$B$4&amp;ref!$B$5&amp;IFERROR(VLOOKUP(B4,[1]list!$A:$D,4,FALSE),"")&amp;LOWER(E4)</f>
        <v>/fs/lilietnene/c/bonton</v>
      </c>
      <c r="E4" t="str">
        <f>SUBSTITUTE(IFERROR(VLOOKUP(B4,[1]list!$A:$W,23,FALSE),""),"0","")</f>
        <v/>
      </c>
      <c r="F4" t="str">
        <f>IFERROR(VLOOKUP(B4,[1]list!$A:$AA,27,FALSE),"")</f>
        <v>1001001</v>
      </c>
    </row>
    <row r="5" spans="1:6">
      <c r="A5">
        <v>3</v>
      </c>
      <c r="B5" t="s">
        <v>57</v>
      </c>
      <c r="C5" t="str">
        <f>IFERROR(VLOOKUP(B5,[1]list!$A:$B,2,FALSE),"")</f>
        <v>クプリオ</v>
      </c>
      <c r="D5" t="str">
        <f>ref!$B$4&amp;ref!$B$5&amp;IFERROR(VLOOKUP(B5,[1]list!$A:$D,4,FALSE),"")&amp;LOWER(E5)</f>
        <v>/fs/lilietnene/c/couprio</v>
      </c>
      <c r="E5" t="str">
        <f>SUBSTITUTE(IFERROR(VLOOKUP(B5,[1]list!$A:$W,23,FALSE),""),"0","")</f>
        <v/>
      </c>
      <c r="F5" t="str">
        <f>IFERROR(VLOOKUP(B5,[1]list!$A:$AA,27,FALSE),"")</f>
        <v>1001004</v>
      </c>
    </row>
    <row r="6" spans="1:6">
      <c r="A6">
        <v>4</v>
      </c>
      <c r="B6" t="s">
        <v>62</v>
      </c>
      <c r="C6" t="str">
        <f>IFERROR(VLOOKUP(B6,[1]list!$A:$B,2,FALSE),"")</f>
        <v>マキエ</v>
      </c>
      <c r="D6" t="str">
        <f>ref!$B$4&amp;ref!$B$5&amp;IFERROR(VLOOKUP(B6,[1]list!$A:$D,4,FALSE),"")&amp;LOWER(E6)</f>
        <v>/fs/lilietnene/c/makie</v>
      </c>
      <c r="E6" t="str">
        <f>SUBSTITUTE(IFERROR(VLOOKUP(B6,[1]list!$A:$W,23,FALSE),""),"0","")</f>
        <v/>
      </c>
      <c r="F6" t="str">
        <f>IFERROR(VLOOKUP(B6,[1]list!$A:$AA,27,FALSE),"")</f>
        <v>1001005</v>
      </c>
    </row>
    <row r="7" spans="1:6">
      <c r="A7">
        <v>5</v>
      </c>
      <c r="B7" t="s">
        <v>64</v>
      </c>
      <c r="C7" t="str">
        <f>IFERROR(VLOOKUP(B7,[1]list!$A:$B,2,FALSE),"")</f>
        <v>ペペ</v>
      </c>
      <c r="D7" t="str">
        <f>ref!$B$4&amp;ref!$B$5&amp;IFERROR(VLOOKUP(B7,[1]list!$A:$D,4,FALSE),"")&amp;LOWER(E7)</f>
        <v>/fs/lilietnene/c/pepe</v>
      </c>
      <c r="E7" t="str">
        <f>SUBSTITUTE(IFERROR(VLOOKUP(B7,[1]list!$A:$W,23,FALSE),""),"0","")</f>
        <v/>
      </c>
      <c r="F7" t="str">
        <f>IFERROR(VLOOKUP(B7,[1]list!$A:$AA,27,FALSE),"")</f>
        <v>1002011</v>
      </c>
    </row>
    <row r="8" spans="1:6">
      <c r="A8">
        <v>6</v>
      </c>
      <c r="B8" t="s">
        <v>65</v>
      </c>
      <c r="C8" t="str">
        <f>IFERROR(VLOOKUP(B8,[1]list!$A:$B,2,FALSE),"")</f>
        <v>プチバトー</v>
      </c>
      <c r="D8" t="str">
        <f>ref!$B$4&amp;ref!$B$5&amp;IFERROR(VLOOKUP(B8,[1]list!$A:$D,4,FALSE),"")&amp;LOWER(E8)</f>
        <v>/fs/lilietnene/c/petitbateau</v>
      </c>
      <c r="E8" t="str">
        <f>SUBSTITUTE(IFERROR(VLOOKUP(B8,[1]list!$A:$W,23,FALSE),""),"0","")</f>
        <v/>
      </c>
      <c r="F8" t="str">
        <f>IFERROR(VLOOKUP(B8,[1]list!$A:$AA,27,FALSE),"")</f>
        <v>1002012</v>
      </c>
    </row>
    <row r="9" spans="1:6">
      <c r="A9">
        <v>7</v>
      </c>
      <c r="B9" t="s">
        <v>61</v>
      </c>
      <c r="C9" t="str">
        <f>IFERROR(VLOOKUP(B9,[1]list!$A:$B,2,FALSE),"")</f>
        <v>ケティケタ</v>
      </c>
      <c r="D9" t="str">
        <f>ref!$B$4&amp;ref!$B$5&amp;IFERROR(VLOOKUP(B9,[1]list!$A:$D,4,FALSE),"")&amp;LOWER(E9)</f>
        <v>/fs/lilietnene/c/ketiketa</v>
      </c>
      <c r="E9" t="str">
        <f>SUBSTITUTE(IFERROR(VLOOKUP(B9,[1]list!$A:$W,23,FALSE),""),"0","")</f>
        <v/>
      </c>
      <c r="F9" t="str">
        <f>IFERROR(VLOOKUP(B9,[1]list!$A:$AA,27,FALSE),"")</f>
        <v>1002016</v>
      </c>
    </row>
    <row r="10" spans="1:6">
      <c r="A10">
        <v>8</v>
      </c>
      <c r="B10" t="s">
        <v>58</v>
      </c>
      <c r="C10" t="str">
        <f>IFERROR(VLOOKUP(B10,[1]list!$A:$B,2,FALSE),"")</f>
        <v>エミールエイダ</v>
      </c>
      <c r="D10" t="str">
        <f>ref!$B$4&amp;ref!$B$5&amp;IFERROR(VLOOKUP(B10,[1]list!$A:$D,4,FALSE),"")&amp;LOWER(E10)</f>
        <v>/fs/lilietnene/c/emileetida</v>
      </c>
      <c r="E10" t="str">
        <f>SUBSTITUTE(IFERROR(VLOOKUP(B10,[1]list!$A:$W,23,FALSE),""),"0","")</f>
        <v/>
      </c>
      <c r="F10" t="str">
        <f>IFERROR(VLOOKUP(B10,[1]list!$A:$AA,27,FALSE),"")</f>
        <v>1002017</v>
      </c>
    </row>
    <row r="11" spans="1:6">
      <c r="A11">
        <v>9</v>
      </c>
      <c r="B11" t="s">
        <v>52</v>
      </c>
      <c r="C11" t="str">
        <f>IFERROR(VLOOKUP(B11,[1]list!$A:$B,2,FALSE),"")</f>
        <v>ベイブアンドテス</v>
      </c>
      <c r="D11" t="str">
        <f>ref!$B$4&amp;ref!$B$5&amp;IFERROR(VLOOKUP(B11,[1]list!$A:$D,4,FALSE),"")&amp;LOWER(E11)</f>
        <v>/fs/lilietnene/c/babeandtess</v>
      </c>
      <c r="E11" t="str">
        <f>SUBSTITUTE(IFERROR(VLOOKUP(B11,[1]list!$A:$W,23,FALSE),""),"0","")</f>
        <v/>
      </c>
      <c r="F11" t="str">
        <f>IFERROR(VLOOKUP(B11,[1]list!$A:$AA,27,FALSE),"")</f>
        <v>1003023</v>
      </c>
    </row>
  </sheetData>
  <sortState ref="B2:F11">
    <sortCondition descending="1" ref="E2:E11"/>
    <sortCondition ref="F2:F11"/>
  </sortState>
  <phoneticPr fontId="18"/>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1"/>
  <sheetViews>
    <sheetView workbookViewId="0">
      <selection activeCell="D32" sqref="D32"/>
    </sheetView>
  </sheetViews>
  <sheetFormatPr defaultRowHeight="13.5"/>
  <cols>
    <col min="2" max="2" width="19.25" bestFit="1" customWidth="1"/>
    <col min="3" max="3" width="19.25" customWidth="1"/>
    <col min="4" max="4" width="31.375" bestFit="1" customWidth="1"/>
  </cols>
  <sheetData>
    <row r="1" spans="1:6">
      <c r="A1" t="s">
        <v>1918</v>
      </c>
      <c r="B1" t="s">
        <v>9</v>
      </c>
      <c r="C1" t="s">
        <v>1946</v>
      </c>
      <c r="D1" t="s">
        <v>1917</v>
      </c>
      <c r="E1" t="s">
        <v>2645</v>
      </c>
      <c r="F1" t="s">
        <v>2284</v>
      </c>
    </row>
    <row r="2" spans="1:6">
      <c r="A2">
        <v>0</v>
      </c>
      <c r="B2" t="s">
        <v>55</v>
      </c>
      <c r="C2" t="str">
        <f>IFERROR(VLOOKUP(B2,[1]list!$A:$B,2,FALSE),"")</f>
        <v>キャラメル</v>
      </c>
      <c r="D2" t="str">
        <f>ref!$B$4&amp;ref!$B$5&amp;IFERROR(VLOOKUP(B2,[1]list!$A:$D,4,FALSE),"")&amp;LOWER(E2)</f>
        <v>/fs/lilietnene/c/caramel18ss</v>
      </c>
      <c r="E2" t="str">
        <f>SUBSTITUTE(IFERROR(VLOOKUP(B2,[1]list!$A:$W,23,FALSE),""),"0","")</f>
        <v>18SS</v>
      </c>
      <c r="F2" t="str">
        <f>IFERROR(VLOOKUP(B2,[1]list!$A:$AA,27,FALSE),"")</f>
        <v>1001003</v>
      </c>
    </row>
    <row r="3" spans="1:6">
      <c r="A3">
        <v>1</v>
      </c>
      <c r="B3" t="s">
        <v>53</v>
      </c>
      <c r="C3" t="str">
        <f>IFERROR(VLOOKUP(B3,[1]list!$A:$B,2,FALSE),"")</f>
        <v>ボンポワン</v>
      </c>
      <c r="D3" t="str">
        <f>ref!$B$4&amp;ref!$B$5&amp;IFERROR(VLOOKUP(B3,[1]list!$A:$D,4,FALSE),"")&amp;LOWER(E3)</f>
        <v>/fs/lilietnene/c/bonpoint18ss</v>
      </c>
      <c r="E3" t="s">
        <v>3777</v>
      </c>
      <c r="F3" t="str">
        <f>IFERROR(VLOOKUP(B3,[1]list!$A:$AA,27,FALSE),"")</f>
        <v>1001002</v>
      </c>
    </row>
    <row r="4" spans="1:6">
      <c r="A4">
        <v>2</v>
      </c>
      <c r="B4" t="s">
        <v>54</v>
      </c>
      <c r="C4" t="str">
        <f>IFERROR(VLOOKUP(B4,[1]list!$A:$B,2,FALSE),"")</f>
        <v>ボントン</v>
      </c>
      <c r="D4" t="str">
        <f>ref!$B$4&amp;ref!$B$5&amp;IFERROR(VLOOKUP(B4,[1]list!$A:$D,4,FALSE),"")&amp;LOWER(E4)</f>
        <v>/fs/lilietnene/c/bonton</v>
      </c>
      <c r="E4" t="str">
        <f>SUBSTITUTE(IFERROR(VLOOKUP(B4,[1]list!$A:$W,23,FALSE),""),"0","")</f>
        <v/>
      </c>
      <c r="F4" t="str">
        <f>IFERROR(VLOOKUP(B4,[1]list!$A:$AA,27,FALSE),"")</f>
        <v>1001001</v>
      </c>
    </row>
    <row r="5" spans="1:6">
      <c r="A5">
        <v>3</v>
      </c>
      <c r="B5" t="s">
        <v>62</v>
      </c>
      <c r="C5" t="str">
        <f>IFERROR(VLOOKUP(B5,[1]list!$A:$B,2,FALSE),"")</f>
        <v>マキエ</v>
      </c>
      <c r="D5" t="str">
        <f>ref!$B$4&amp;ref!$B$5&amp;IFERROR(VLOOKUP(B5,[1]list!$A:$D,4,FALSE),"")&amp;LOWER(E5)</f>
        <v>/fs/lilietnene/c/makie</v>
      </c>
      <c r="E5" t="str">
        <f>SUBSTITUTE(IFERROR(VLOOKUP(B5,[1]list!$A:$W,23,FALSE),""),"0","")</f>
        <v/>
      </c>
      <c r="F5" t="str">
        <f>IFERROR(VLOOKUP(B5,[1]list!$A:$AA,27,FALSE),"")</f>
        <v>1001005</v>
      </c>
    </row>
    <row r="6" spans="1:6">
      <c r="A6">
        <v>4</v>
      </c>
      <c r="B6" t="s">
        <v>64</v>
      </c>
      <c r="C6" t="str">
        <f>IFERROR(VLOOKUP(B6,[1]list!$A:$B,2,FALSE),"")</f>
        <v>ペペ</v>
      </c>
      <c r="D6" t="str">
        <f>ref!$B$4&amp;ref!$B$5&amp;IFERROR(VLOOKUP(B6,[1]list!$A:$D,4,FALSE),"")&amp;LOWER(E6)</f>
        <v>/fs/lilietnene/c/pepe</v>
      </c>
      <c r="E6" t="str">
        <f>SUBSTITUTE(IFERROR(VLOOKUP(B6,[1]list!$A:$W,23,FALSE),""),"0","")</f>
        <v/>
      </c>
      <c r="F6" t="str">
        <f>IFERROR(VLOOKUP(B6,[1]list!$A:$AA,27,FALSE),"")</f>
        <v>1002011</v>
      </c>
    </row>
    <row r="7" spans="1:6">
      <c r="A7">
        <v>5</v>
      </c>
      <c r="B7" t="s">
        <v>65</v>
      </c>
      <c r="C7" t="str">
        <f>IFERROR(VLOOKUP(B7,[1]list!$A:$B,2,FALSE),"")</f>
        <v>プチバトー</v>
      </c>
      <c r="D7" t="str">
        <f>ref!$B$4&amp;ref!$B$5&amp;IFERROR(VLOOKUP(B7,[1]list!$A:$D,4,FALSE),"")&amp;LOWER(E7)</f>
        <v>/fs/lilietnene/c/petitbateau</v>
      </c>
      <c r="E7" t="str">
        <f>SUBSTITUTE(IFERROR(VLOOKUP(B7,[1]list!$A:$W,23,FALSE),""),"0","")</f>
        <v/>
      </c>
      <c r="F7" t="str">
        <f>IFERROR(VLOOKUP(B7,[1]list!$A:$AA,27,FALSE),"")</f>
        <v>1002012</v>
      </c>
    </row>
    <row r="8" spans="1:6">
      <c r="A8">
        <v>6</v>
      </c>
      <c r="B8" t="s">
        <v>73</v>
      </c>
      <c r="C8" t="str">
        <f>IFERROR(VLOOKUP(B8,[1]list!$A:$B,2,FALSE),"")</f>
        <v>レコヨーテドゥパリ</v>
      </c>
      <c r="D8" t="str">
        <f>ref!$B$4&amp;ref!$B$5&amp;IFERROR(VLOOKUP(B8,[1]list!$A:$D,4,FALSE),"")&amp;LOWER(E8)</f>
        <v>/fs/lilietnene/c/lescoyotesdeparis</v>
      </c>
      <c r="E8" t="str">
        <f>SUBSTITUTE(IFERROR(VLOOKUP(B8,[1]list!$A:$W,23,FALSE),""),"0","")</f>
        <v/>
      </c>
      <c r="F8" t="str">
        <f>IFERROR(VLOOKUP(B8,[1]list!$A:$AA,27,FALSE),"")</f>
        <v>1002013</v>
      </c>
    </row>
    <row r="9" spans="1:6">
      <c r="A9">
        <v>7</v>
      </c>
      <c r="B9" t="s">
        <v>68</v>
      </c>
      <c r="C9" t="str">
        <f>IFERROR(VLOOKUP(B9,[1]list!$A:$B,2,FALSE),"")</f>
        <v>ベルローズ</v>
      </c>
      <c r="D9" t="str">
        <f>ref!$B$4&amp;ref!$B$5&amp;IFERROR(VLOOKUP(B9,[1]list!$A:$D,4,FALSE),"")&amp;LOWER(E9)</f>
        <v>/fs/lilietnene/c/bellerose</v>
      </c>
      <c r="E9" t="str">
        <f>SUBSTITUTE(IFERROR(VLOOKUP(B9,[1]list!$A:$W,23,FALSE),""),"0","")</f>
        <v/>
      </c>
      <c r="F9" t="str">
        <f>IFERROR(VLOOKUP(B9,[1]list!$A:$AA,27,FALSE),"")</f>
        <v>1002014</v>
      </c>
    </row>
    <row r="10" spans="1:6">
      <c r="A10">
        <v>8</v>
      </c>
      <c r="B10" t="s">
        <v>60</v>
      </c>
      <c r="C10" t="str">
        <f>IFERROR(VLOOKUP(B10,[1]list!$A:$B,2,FALSE),"")</f>
        <v>ハートフォード</v>
      </c>
      <c r="D10" t="str">
        <f>ref!$B$4&amp;ref!$B$5&amp;IFERROR(VLOOKUP(B10,[1]list!$A:$D,4,FALSE),"")&amp;LOWER(E10)</f>
        <v>/fs/lilietnene/c/hartford</v>
      </c>
      <c r="E10" t="str">
        <f>SUBSTITUTE(IFERROR(VLOOKUP(B10,[1]list!$A:$W,23,FALSE),""),"0","")</f>
        <v/>
      </c>
      <c r="F10" t="str">
        <f>IFERROR(VLOOKUP(B10,[1]list!$A:$AA,27,FALSE),"")</f>
        <v>1002015</v>
      </c>
    </row>
    <row r="11" spans="1:6">
      <c r="A11">
        <v>9</v>
      </c>
      <c r="B11" t="s">
        <v>78</v>
      </c>
      <c r="C11" t="str">
        <f>IFERROR(VLOOKUP(B11,[1]list!$A:$B,2,FALSE),"")</f>
        <v>ポルダー</v>
      </c>
      <c r="D11" t="str">
        <f>ref!$B$4&amp;ref!$B$5&amp;IFERROR(VLOOKUP(B11,[1]list!$A:$D,4,FALSE),"")&amp;LOWER(E11)</f>
        <v>/fs/lilietnene/c/polder</v>
      </c>
      <c r="E11" t="str">
        <f>SUBSTITUTE(IFERROR(VLOOKUP(B11,[1]list!$A:$W,23,FALSE),""),"0","")</f>
        <v/>
      </c>
      <c r="F11" t="str">
        <f>IFERROR(VLOOKUP(B11,[1]list!$A:$AA,27,FALSE),"")</f>
        <v>1003021</v>
      </c>
    </row>
  </sheetData>
  <sortState ref="B3:F11">
    <sortCondition descending="1" ref="E3:E11"/>
    <sortCondition ref="F3:F11"/>
  </sortState>
  <phoneticPr fontId="18"/>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7"/>
  <sheetViews>
    <sheetView workbookViewId="0">
      <selection activeCell="D22" sqref="D22"/>
    </sheetView>
  </sheetViews>
  <sheetFormatPr defaultRowHeight="13.5"/>
  <cols>
    <col min="2" max="2" width="19.25" bestFit="1" customWidth="1"/>
    <col min="3" max="3" width="19.25" customWidth="1"/>
    <col min="4" max="4" width="30" bestFit="1" customWidth="1"/>
  </cols>
  <sheetData>
    <row r="1" spans="1:6">
      <c r="A1" t="s">
        <v>1951</v>
      </c>
      <c r="B1" t="s">
        <v>9</v>
      </c>
      <c r="C1" t="s">
        <v>1950</v>
      </c>
      <c r="D1" t="s">
        <v>1949</v>
      </c>
      <c r="E1" t="s">
        <v>2645</v>
      </c>
      <c r="F1" t="s">
        <v>2284</v>
      </c>
    </row>
    <row r="2" spans="1:6">
      <c r="A2">
        <v>0</v>
      </c>
      <c r="B2" t="s">
        <v>91</v>
      </c>
      <c r="C2" t="str">
        <f>IFERROR(VLOOKUP(B2,[1]list!$A:$B,2,FALSE),"")</f>
        <v>ヘレンカミンスキー</v>
      </c>
      <c r="D2" t="str">
        <f>ref!$B$4&amp;ref!$B$5&amp;IFERROR(VLOOKUP(B2,[1]list!$A:$D,4,FALSE),"")&amp;LOWER(E2)</f>
        <v>/fs/lilietnene/c/helenkaminski18ss</v>
      </c>
      <c r="E2" t="str">
        <f>SUBSTITUTE(IFERROR(VLOOKUP(B2,[1]list!$A:$W,23,FALSE),""),"0","")</f>
        <v>18SS</v>
      </c>
      <c r="F2" t="str">
        <f>IFERROR(VLOOKUP(B2,[1]list!$A:$AB,28,FALSE),"")</f>
        <v>2002013</v>
      </c>
    </row>
    <row r="3" spans="1:6">
      <c r="A3">
        <v>1</v>
      </c>
      <c r="B3" t="s">
        <v>102</v>
      </c>
      <c r="C3" t="str">
        <f>IFERROR(VLOOKUP(B3,[1]list!$A:$B,2,FALSE),"")</f>
        <v>ポルセリ</v>
      </c>
      <c r="D3" t="str">
        <f>ref!$B$4&amp;ref!$B$5&amp;IFERROR(VLOOKUP(B3,[1]list!$A:$D,4,FALSE),"")&amp;LOWER(E3)</f>
        <v>/fs/lilietnene/c/porselli</v>
      </c>
      <c r="E3" t="str">
        <f>SUBSTITUTE(IFERROR(VLOOKUP(B3,[1]list!$A:$W,23,FALSE),""),"0","")</f>
        <v/>
      </c>
      <c r="F3" t="str">
        <f>IFERROR(VLOOKUP(B3,[1]list!$A:$AB,28,FALSE),"")</f>
        <v>2001001</v>
      </c>
    </row>
    <row r="4" spans="1:6">
      <c r="A4">
        <v>2</v>
      </c>
      <c r="B4" t="s">
        <v>107</v>
      </c>
      <c r="C4" t="str">
        <f>IFERROR(VLOOKUP(B4,[1]list!$A:$B,2,FALSE),"")</f>
        <v>ティヤマイ</v>
      </c>
      <c r="D4" t="str">
        <f>ref!$B$4&amp;ref!$B$5&amp;IFERROR(VLOOKUP(B4,[1]list!$A:$D,4,FALSE),"")&amp;LOWER(E4)</f>
        <v>/fs/lilietnene/c/tyamai</v>
      </c>
      <c r="E4" t="str">
        <f>SUBSTITUTE(IFERROR(VLOOKUP(B4,[1]list!$A:$W,23,FALSE),""),"0","")</f>
        <v/>
      </c>
      <c r="F4" t="str">
        <f>IFERROR(VLOOKUP(B4,[1]list!$A:$AB,28,FALSE),"")</f>
        <v>2001002</v>
      </c>
    </row>
    <row r="5" spans="1:6">
      <c r="A5">
        <v>3</v>
      </c>
      <c r="B5" t="s">
        <v>104</v>
      </c>
      <c r="C5" t="str">
        <f>IFERROR(VLOOKUP(B5,[1]list!$A:$B,2,FALSE),"")</f>
        <v>ソフィー・ディガール</v>
      </c>
      <c r="D5" t="str">
        <f>ref!$B$4&amp;ref!$B$5&amp;IFERROR(VLOOKUP(B5,[1]list!$A:$D,4,FALSE),"")&amp;LOWER(E5)</f>
        <v>/fs/lilietnene/c/sophiedigard</v>
      </c>
      <c r="E5" t="str">
        <f>SUBSTITUTE(IFERROR(VLOOKUP(B5,[1]list!$A:$W,23,FALSE),""),"0","")</f>
        <v/>
      </c>
      <c r="F5" t="str">
        <f>IFERROR(VLOOKUP(B5,[1]list!$A:$AB,28,FALSE),"")</f>
        <v>2001003</v>
      </c>
    </row>
    <row r="6" spans="1:6">
      <c r="A6">
        <v>4</v>
      </c>
      <c r="B6" t="s">
        <v>89</v>
      </c>
      <c r="C6" t="str">
        <f>IFERROR(VLOOKUP(B6,[1]list!$A:$B,2,FALSE),"")</f>
        <v>ファビオルスコーニ</v>
      </c>
      <c r="D6" t="str">
        <f>ref!$B$4&amp;ref!$B$5&amp;IFERROR(VLOOKUP(B6,[1]list!$A:$D,4,FALSE),"")&amp;LOWER(E6)</f>
        <v>/fs/lilietnene/c/fabiorusconi</v>
      </c>
      <c r="E6" t="str">
        <f>SUBSTITUTE(IFERROR(VLOOKUP(B6,[1]list!$A:$W,23,FALSE),""),"0","")</f>
        <v/>
      </c>
      <c r="F6" t="str">
        <f>IFERROR(VLOOKUP(B6,[1]list!$A:$AB,28,FALSE),"")</f>
        <v>2001005</v>
      </c>
    </row>
    <row r="7" spans="1:6">
      <c r="A7">
        <v>5</v>
      </c>
      <c r="B7" t="s">
        <v>3429</v>
      </c>
      <c r="C7" t="str">
        <f>IFERROR(VLOOKUP(B7,[1]list!$A:$B,2,FALSE),"")</f>
        <v>ドラゴン</v>
      </c>
      <c r="D7" t="str">
        <f>ref!$B$4&amp;ref!$B$5&amp;IFERROR(VLOOKUP(B7,[1]list!$A:$D,4,FALSE),"")&amp;LOWER(E7)</f>
        <v>/fs/lilietnene/c/dragon</v>
      </c>
      <c r="E7" t="str">
        <f>SUBSTITUTE(IFERROR(VLOOKUP(B7,[1]list!$A:$W,23,FALSE),""),"0","")</f>
        <v/>
      </c>
      <c r="F7" t="str">
        <f>IFERROR(VLOOKUP(B7,[1]list!$A:$AB,28,FALSE),"")</f>
        <v>2002011</v>
      </c>
    </row>
  </sheetData>
  <sortState ref="B2:G11">
    <sortCondition descending="1" ref="E2:E11"/>
    <sortCondition ref="F2:F11"/>
  </sortState>
  <phoneticPr fontId="18"/>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6"/>
  <sheetViews>
    <sheetView workbookViewId="0">
      <selection activeCell="D2" sqref="D2"/>
    </sheetView>
  </sheetViews>
  <sheetFormatPr defaultRowHeight="13.5"/>
  <cols>
    <col min="2" max="2" width="19.25" bestFit="1" customWidth="1"/>
    <col min="3" max="3" width="19.25" customWidth="1"/>
    <col min="4" max="4" width="30" bestFit="1" customWidth="1"/>
  </cols>
  <sheetData>
    <row r="1" spans="1:6">
      <c r="A1" t="s">
        <v>16</v>
      </c>
      <c r="B1" t="s">
        <v>9</v>
      </c>
      <c r="C1" t="s">
        <v>1913</v>
      </c>
      <c r="D1" t="s">
        <v>14</v>
      </c>
      <c r="E1" t="s">
        <v>2283</v>
      </c>
      <c r="F1" t="s">
        <v>2284</v>
      </c>
    </row>
    <row r="2" spans="1:6">
      <c r="A2">
        <v>0</v>
      </c>
      <c r="B2" t="s">
        <v>60</v>
      </c>
      <c r="C2" t="str">
        <f>IFERROR(VLOOKUP(B2,[1]list!$A:$B,2,FALSE),"")</f>
        <v>ハートフォード</v>
      </c>
      <c r="D2" t="str">
        <f>ref!$B$4&amp;ref!$B$5&amp;IFERROR(VLOOKUP(B2,[1]list!$A:$D,4,FALSE),"")&amp;LOWER(E2)</f>
        <v>/fs/lilietnene/c/hartford</v>
      </c>
      <c r="E2" t="str">
        <f>SUBSTITUTE(IFERROR(VLOOKUP(B2,[1]list!$A:$W,23,FALSE),""),"0","")</f>
        <v/>
      </c>
      <c r="F2" t="str">
        <f>IFERROR(VLOOKUP(B2,[1]list!$A:$AB,28,FALSE),"")</f>
        <v>2001006</v>
      </c>
    </row>
    <row r="3" spans="1:6">
      <c r="A3">
        <v>1</v>
      </c>
      <c r="B3" t="s">
        <v>103</v>
      </c>
      <c r="C3" t="str">
        <f>IFERROR(VLOOKUP(B3,[1]list!$A:$B,2,FALSE),"")</f>
        <v>ソフィードール</v>
      </c>
      <c r="D3" t="str">
        <f>ref!$B$4&amp;ref!$B$5&amp;IFERROR(VLOOKUP(B3,[1]list!$A:$D,4,FALSE),"")&amp;LOWER(E3)</f>
        <v>/fs/lilietnene/c/sofiedhoore</v>
      </c>
      <c r="E3" t="str">
        <f>SUBSTITUTE(IFERROR(VLOOKUP(B3,[1]list!$A:$W,23,FALSE),""),"0","")</f>
        <v/>
      </c>
      <c r="F3" t="str">
        <f>IFERROR(VLOOKUP(B3,[1]list!$A:$AB,28,FALSE),"")</f>
        <v>2001006</v>
      </c>
    </row>
    <row r="4" spans="1:6">
      <c r="A4">
        <v>2</v>
      </c>
      <c r="B4" t="s">
        <v>95</v>
      </c>
      <c r="C4" t="str">
        <f>IFERROR(VLOOKUP(B4,[1]list!$A:$B,2,FALSE),"")</f>
        <v>マジェスティックフィラチュール</v>
      </c>
      <c r="D4" t="str">
        <f>ref!$B$4&amp;ref!$B$5&amp;IFERROR(VLOOKUP(B4,[1]list!$A:$D,4,FALSE),"")&amp;LOWER(E4)</f>
        <v>/fs/lilietnene/c/majesticfilatures</v>
      </c>
      <c r="E4" t="str">
        <f>SUBSTITUTE(IFERROR(VLOOKUP(B4,[1]list!$A:$W,23,FALSE),""),"0","")</f>
        <v/>
      </c>
      <c r="F4" t="str">
        <f>IFERROR(VLOOKUP(B4,[1]list!$A:$AB,28,FALSE),"")</f>
        <v>2001007</v>
      </c>
    </row>
    <row r="5" spans="1:6">
      <c r="A5">
        <v>3</v>
      </c>
      <c r="B5" t="s">
        <v>93</v>
      </c>
      <c r="C5" t="str">
        <f>IFERROR(VLOOKUP(B5,[1]list!$A:$B,2,FALSE),"")</f>
        <v>ジャマンピエッシュ</v>
      </c>
      <c r="D5" t="str">
        <f>ref!$B$4&amp;ref!$B$5&amp;IFERROR(VLOOKUP(B5,[1]list!$A:$D,4,FALSE),"")&amp;LOWER(E5)</f>
        <v>/fs/lilietnene/c/jaminpuech</v>
      </c>
      <c r="E5" t="str">
        <f>SUBSTITUTE(IFERROR(VLOOKUP(B5,[1]list!$A:$W,23,FALSE),""),"0","")</f>
        <v/>
      </c>
      <c r="F5" t="str">
        <f>IFERROR(VLOOKUP(B5,[1]list!$A:$AB,28,FALSE),"")</f>
        <v>2002014</v>
      </c>
    </row>
    <row r="6" spans="1:6">
      <c r="A6">
        <v>4</v>
      </c>
      <c r="B6" t="s">
        <v>78</v>
      </c>
      <c r="C6" t="str">
        <f>IFERROR(VLOOKUP(B6,[1]list!$A:$B,2,FALSE),"")</f>
        <v>ポルダー</v>
      </c>
      <c r="D6" t="str">
        <f>ref!$B$4&amp;ref!$B$5&amp;IFERROR(VLOOKUP(B6,[1]list!$A:$D,4,FALSE),"")&amp;LOWER(E6)</f>
        <v>/fs/lilietnene/c/polder</v>
      </c>
      <c r="E6" t="str">
        <f>SUBSTITUTE(IFERROR(VLOOKUP(B6,[1]list!$A:$W,23,FALSE),""),"0","")</f>
        <v/>
      </c>
      <c r="F6" t="str">
        <f>IFERROR(VLOOKUP(B6,[1]list!$A:$AB,28,FALSE),"")</f>
        <v>2002015</v>
      </c>
    </row>
  </sheetData>
  <phoneticPr fontId="18"/>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C3"/>
  <sheetViews>
    <sheetView workbookViewId="0">
      <selection activeCell="H41" sqref="H41"/>
    </sheetView>
  </sheetViews>
  <sheetFormatPr defaultRowHeight="13.5"/>
  <cols>
    <col min="2" max="2" width="22.875" bestFit="1" customWidth="1"/>
  </cols>
  <sheetData>
    <row r="1" spans="1:3">
      <c r="A1" t="s">
        <v>1906</v>
      </c>
      <c r="B1" t="s">
        <v>9</v>
      </c>
      <c r="C1" t="s">
        <v>1905</v>
      </c>
    </row>
    <row r="2" spans="1:3">
      <c r="A2">
        <v>0</v>
      </c>
      <c r="B2" t="s">
        <v>3504</v>
      </c>
      <c r="C2" t="s">
        <v>3506</v>
      </c>
    </row>
    <row r="3" spans="1:3">
      <c r="A3">
        <v>1</v>
      </c>
      <c r="B3" t="s">
        <v>3502</v>
      </c>
      <c r="C3" t="s">
        <v>3500</v>
      </c>
    </row>
  </sheetData>
  <phoneticPr fontId="18"/>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C3"/>
  <sheetViews>
    <sheetView workbookViewId="0">
      <selection activeCell="D14" sqref="D14"/>
    </sheetView>
  </sheetViews>
  <sheetFormatPr defaultRowHeight="13.5"/>
  <cols>
    <col min="2" max="2" width="22.875" bestFit="1" customWidth="1"/>
  </cols>
  <sheetData>
    <row r="1" spans="1:3">
      <c r="A1" t="s">
        <v>1906</v>
      </c>
      <c r="B1" t="s">
        <v>9</v>
      </c>
      <c r="C1" t="s">
        <v>1905</v>
      </c>
    </row>
    <row r="2" spans="1:3">
      <c r="A2">
        <v>0</v>
      </c>
      <c r="B2" t="s">
        <v>3504</v>
      </c>
      <c r="C2" t="s">
        <v>3510</v>
      </c>
    </row>
    <row r="3" spans="1:3">
      <c r="A3">
        <v>1</v>
      </c>
      <c r="B3" t="s">
        <v>3508</v>
      </c>
      <c r="C3" s="1" t="s">
        <v>3528</v>
      </c>
    </row>
  </sheetData>
  <phoneticPr fontId="18"/>
  <hyperlinks>
    <hyperlink ref="C3" r:id="rId1" display="http://c24.future-shop.jp/fs/lilietnene/GoodsSearchList.html?_e_k=%82%60&amp;keyword=gift-kids&amp;searchBtn.x=0&amp;searchBtn.y=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C3"/>
  <sheetViews>
    <sheetView workbookViewId="0">
      <selection activeCell="C4" sqref="C4"/>
    </sheetView>
  </sheetViews>
  <sheetFormatPr defaultRowHeight="13.5"/>
  <cols>
    <col min="2" max="2" width="22.875" bestFit="1" customWidth="1"/>
  </cols>
  <sheetData>
    <row r="1" spans="1:3">
      <c r="A1" t="s">
        <v>1906</v>
      </c>
      <c r="B1" t="s">
        <v>9</v>
      </c>
      <c r="C1" t="s">
        <v>1905</v>
      </c>
    </row>
    <row r="2" spans="1:3">
      <c r="A2">
        <v>0</v>
      </c>
      <c r="B2" t="s">
        <v>3512</v>
      </c>
      <c r="C2" t="s">
        <v>3515</v>
      </c>
    </row>
    <row r="3" spans="1:3">
      <c r="A3">
        <v>1</v>
      </c>
      <c r="B3" t="s">
        <v>3514</v>
      </c>
      <c r="C3" t="s">
        <v>500</v>
      </c>
    </row>
  </sheetData>
  <phoneticPr fontId="18"/>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0"/>
  <sheetViews>
    <sheetView workbookViewId="0">
      <selection activeCell="B23" sqref="B23"/>
    </sheetView>
  </sheetViews>
  <sheetFormatPr defaultRowHeight="13.5"/>
  <cols>
    <col min="2" max="2" width="23.625" bestFit="1" customWidth="1"/>
  </cols>
  <sheetData>
    <row r="1" spans="1:3">
      <c r="A1" t="s">
        <v>16</v>
      </c>
      <c r="B1" t="s">
        <v>9</v>
      </c>
      <c r="C1" t="s">
        <v>14</v>
      </c>
    </row>
    <row r="2" spans="1:3">
      <c r="A2">
        <v>0</v>
      </c>
      <c r="B2" t="s">
        <v>2646</v>
      </c>
      <c r="C2" t="str">
        <f>ref!$B$4&amp;ref!$B$5&amp;"kitchen-tableware"</f>
        <v>/fs/lilietnene/c/kitchen-tableware</v>
      </c>
    </row>
    <row r="3" spans="1:3">
      <c r="A3">
        <v>1</v>
      </c>
      <c r="B3" t="s">
        <v>2647</v>
      </c>
      <c r="C3" t="str">
        <f>ref!$B$4&amp;ref!$B$5&amp;"homelinens-goods"</f>
        <v>/fs/lilietnene/c/homelinens-goods</v>
      </c>
    </row>
    <row r="4" spans="1:3">
      <c r="A4">
        <v>2</v>
      </c>
      <c r="B4" t="s">
        <v>2648</v>
      </c>
      <c r="C4" t="str">
        <f>ref!$B$4&amp;ref!$B$5&amp;"bathroom"</f>
        <v>/fs/lilietnene/c/bathroom</v>
      </c>
    </row>
    <row r="5" spans="1:3">
      <c r="A5">
        <v>3</v>
      </c>
      <c r="B5" t="s">
        <v>2649</v>
      </c>
      <c r="C5" t="str">
        <f>ref!$B$4&amp;ref!$B$5&amp;"smallstorages"</f>
        <v>/fs/lilietnene/c/smallstorages</v>
      </c>
    </row>
    <row r="6" spans="1:3">
      <c r="A6">
        <v>4</v>
      </c>
      <c r="B6" t="s">
        <v>2650</v>
      </c>
      <c r="C6" t="str">
        <f>ref!$B$4&amp;ref!$B$5&amp;"flowerbase"</f>
        <v>/fs/lilietnene/c/flowerbase</v>
      </c>
    </row>
    <row r="7" spans="1:3">
      <c r="A7">
        <v>5</v>
      </c>
      <c r="B7" t="s">
        <v>2651</v>
      </c>
      <c r="C7" t="str">
        <f>ref!$B$4&amp;ref!$B$5&amp;"decorative-objects"</f>
        <v>/fs/lilietnene/c/decorative-objects</v>
      </c>
    </row>
    <row r="8" spans="1:3">
      <c r="A8">
        <v>6</v>
      </c>
      <c r="B8" t="s">
        <v>2652</v>
      </c>
      <c r="C8" t="str">
        <f>ref!$B$4&amp;ref!$B$5&amp;"lamp"</f>
        <v>/fs/lilietnene/c/lamp</v>
      </c>
    </row>
    <row r="9" spans="1:3">
      <c r="A9">
        <v>7</v>
      </c>
      <c r="B9" t="s">
        <v>2653</v>
      </c>
      <c r="C9" t="str">
        <f>ref!$B$4&amp;ref!$B$5&amp;"cushion-pillow"</f>
        <v>/fs/lilietnene/c/cushion-pillow</v>
      </c>
    </row>
    <row r="10" spans="1:3">
      <c r="A10">
        <v>8</v>
      </c>
      <c r="B10" t="s">
        <v>2654</v>
      </c>
      <c r="C10" t="str">
        <f>ref!$B$4&amp;ref!$B$5&amp;"craft"</f>
        <v>/fs/lilietnene/c/craft</v>
      </c>
    </row>
  </sheetData>
  <phoneticPr fontId="18"/>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C10"/>
  <sheetViews>
    <sheetView workbookViewId="0">
      <selection activeCell="G22" sqref="G22"/>
    </sheetView>
  </sheetViews>
  <sheetFormatPr defaultRowHeight="13.5"/>
  <cols>
    <col min="2" max="2" width="23.625" bestFit="1" customWidth="1"/>
  </cols>
  <sheetData>
    <row r="1" spans="1:3">
      <c r="A1" t="s">
        <v>16</v>
      </c>
      <c r="B1" t="s">
        <v>9</v>
      </c>
      <c r="C1" t="s">
        <v>14</v>
      </c>
    </row>
    <row r="2" spans="1:3">
      <c r="A2">
        <v>0</v>
      </c>
      <c r="B2" t="s">
        <v>2655</v>
      </c>
      <c r="C2" t="str">
        <f>ref!$B$4&amp;ref!$B$5&amp;"item-craft"</f>
        <v>/fs/lilietnene/c/item-craft</v>
      </c>
    </row>
    <row r="3" spans="1:3">
      <c r="A3">
        <v>1</v>
      </c>
      <c r="B3" t="s">
        <v>2656</v>
      </c>
      <c r="C3" t="str">
        <f>ref!$B$4&amp;ref!$B$5&amp;"decorative-mobile"</f>
        <v>/fs/lilietnene/c/decorative-mobile</v>
      </c>
    </row>
    <row r="4" spans="1:3">
      <c r="A4">
        <v>2</v>
      </c>
      <c r="B4" t="s">
        <v>2657</v>
      </c>
      <c r="C4" t="str">
        <f>ref!$B$4&amp;ref!$B$5&amp;"decoration"</f>
        <v>/fs/lilietnene/c/decoration</v>
      </c>
    </row>
    <row r="5" spans="1:3">
      <c r="A5">
        <v>3</v>
      </c>
      <c r="B5" t="s">
        <v>2658</v>
      </c>
      <c r="C5" t="str">
        <f>ref!$B$4&amp;ref!$B$5&amp;"kids-party"</f>
        <v>/fs/lilietnene/c/kids-party</v>
      </c>
    </row>
    <row r="6" spans="1:3">
      <c r="A6">
        <v>4</v>
      </c>
      <c r="B6" t="s">
        <v>1971</v>
      </c>
      <c r="C6" t="str">
        <f>ref!$B$4&amp;ref!$B$5&amp;"stationary"</f>
        <v>/fs/lilietnene/c/stationary</v>
      </c>
    </row>
    <row r="7" spans="1:3">
      <c r="A7">
        <v>5</v>
      </c>
      <c r="B7" t="s">
        <v>2659</v>
      </c>
      <c r="C7" t="str">
        <f>ref!$B$4&amp;ref!$B$5&amp;"art"</f>
        <v>/fs/lilietnene/c/art</v>
      </c>
    </row>
    <row r="8" spans="1:3">
      <c r="A8">
        <v>6</v>
      </c>
      <c r="B8" t="s">
        <v>3619</v>
      </c>
      <c r="C8" t="str">
        <f>ref!$B$4&amp;ref!$B$5&amp;"seasonal"</f>
        <v>/fs/lilietnene/c/seasonal</v>
      </c>
    </row>
    <row r="9" spans="1:3">
      <c r="A9">
        <v>7</v>
      </c>
      <c r="B9" t="s">
        <v>3620</v>
      </c>
      <c r="C9" t="str">
        <f>ref!$B$4&amp;ref!$B$5&amp;"baby-room"</f>
        <v>/fs/lilietnene/c/baby-room</v>
      </c>
    </row>
    <row r="10" spans="1:3">
      <c r="A10">
        <v>8</v>
      </c>
      <c r="B10" t="s">
        <v>3621</v>
      </c>
      <c r="C10" t="str">
        <f>ref!$B$4&amp;ref!$B$5&amp;"kids-room"</f>
        <v>/fs/lilietnene/c/kids-room</v>
      </c>
    </row>
  </sheetData>
  <phoneticPr fontId="1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10"/>
  <sheetViews>
    <sheetView workbookViewId="0">
      <selection activeCell="D39" sqref="D39"/>
    </sheetView>
  </sheetViews>
  <sheetFormatPr defaultRowHeight="13.5"/>
  <cols>
    <col min="2" max="2" width="19.25" bestFit="1" customWidth="1"/>
    <col min="3" max="3" width="19.25" customWidth="1"/>
    <col min="4" max="4" width="18.625" customWidth="1"/>
  </cols>
  <sheetData>
    <row r="1" spans="1:5">
      <c r="A1" t="s">
        <v>1918</v>
      </c>
      <c r="B1" t="s">
        <v>9</v>
      </c>
      <c r="C1" t="s">
        <v>1946</v>
      </c>
      <c r="D1" t="s">
        <v>1917</v>
      </c>
      <c r="E1" t="s">
        <v>2284</v>
      </c>
    </row>
    <row r="2" spans="1:5">
      <c r="A2">
        <v>0</v>
      </c>
      <c r="B2" t="s">
        <v>536</v>
      </c>
      <c r="C2" t="str">
        <f>IFERROR(VLOOKUP(B2,[1]list!$A:$B,2,FALSE),"")</f>
        <v>ヒュプシュ</v>
      </c>
      <c r="D2" t="str">
        <f>ref!$B$4&amp;ref!$B$5&amp;IFERROR(VLOOKUP(B2,[1]list!$A:$D,4,FALSE),"")</f>
        <v>/fs/lilietnene/c/hubsch</v>
      </c>
      <c r="E2" t="str">
        <f>IFERROR(VLOOKUP(B2,[1]list!$A:$AC,29,FALSE),"")</f>
        <v>9001001</v>
      </c>
    </row>
    <row r="3" spans="1:5">
      <c r="A3">
        <v>1</v>
      </c>
      <c r="B3" t="s">
        <v>539</v>
      </c>
      <c r="C3" t="str">
        <f>IFERROR(VLOOKUP(B3,[1]list!$A:$B,2,FALSE),"")</f>
        <v>イリスハントバーク</v>
      </c>
      <c r="D3" t="str">
        <f>ref!$B$4&amp;ref!$B$5&amp;IFERROR(VLOOKUP(B3,[1]list!$A:$D,4,FALSE),"")</f>
        <v>/fs/lilietnene/c/irishantverk</v>
      </c>
      <c r="E3" t="str">
        <f>IFERROR(VLOOKUP(B3,[1]list!$A:$AC,29,FALSE),"")</f>
        <v>9001002</v>
      </c>
    </row>
    <row r="4" spans="1:5">
      <c r="A4">
        <v>2</v>
      </c>
      <c r="B4" t="s">
        <v>523</v>
      </c>
      <c r="C4" t="str">
        <f>IFERROR(VLOOKUP(B4,[1]list!$A:$B,2,FALSE),"")</f>
        <v>フォグ リネンワーク</v>
      </c>
      <c r="D4" t="str">
        <f>ref!$B$4&amp;ref!$B$5&amp;IFERROR(VLOOKUP(B4,[1]list!$A:$D,4,FALSE),"")</f>
        <v>/fs/lilietnene/c/foglinenwork-all</v>
      </c>
      <c r="E4" t="str">
        <f>IFERROR(VLOOKUP(B4,[1]list!$A:$AC,29,FALSE),"")</f>
        <v>9001003</v>
      </c>
    </row>
    <row r="5" spans="1:5">
      <c r="A5">
        <v>3</v>
      </c>
      <c r="B5" t="s">
        <v>593</v>
      </c>
      <c r="C5" t="str">
        <f>IFERROR(VLOOKUP(B5,[1]list!$A:$B,2,FALSE),"")</f>
        <v>ヌメロ</v>
      </c>
      <c r="D5" t="str">
        <f>ref!$B$4&amp;ref!$B$5&amp;IFERROR(VLOOKUP(B5,[1]list!$A:$D,4,FALSE),"")</f>
        <v>/fs/lilietnene/c/numero74</v>
      </c>
      <c r="E5" t="str">
        <f>IFERROR(VLOOKUP(B5,[1]list!$A:$AC,29,FALSE),"")</f>
        <v>9001004</v>
      </c>
    </row>
    <row r="6" spans="1:5">
      <c r="A6">
        <v>4</v>
      </c>
      <c r="B6" t="s">
        <v>576</v>
      </c>
      <c r="C6" t="str">
        <f>IFERROR(VLOOKUP(B6,[1]list!$A:$B,2,FALSE),"")</f>
        <v>ムスカン</v>
      </c>
      <c r="D6" t="str">
        <f>ref!$B$4&amp;ref!$B$5&amp;IFERROR(VLOOKUP(B6,[1]list!$A:$D,4,FALSE),"")</f>
        <v>/fs/lilietnene/c/muskhane</v>
      </c>
      <c r="E6" t="str">
        <f>IFERROR(VLOOKUP(B6,[1]list!$A:$AC,29,FALSE),"")</f>
        <v>9001005</v>
      </c>
    </row>
    <row r="7" spans="1:5">
      <c r="A7">
        <v>5</v>
      </c>
      <c r="B7" t="s">
        <v>94</v>
      </c>
      <c r="C7" t="str">
        <f>IFERROR(VLOOKUP(B7,[1]list!$A:$B,2,FALSE),"")</f>
        <v>カディアンドコー</v>
      </c>
      <c r="D7" t="str">
        <f>ref!$B$4&amp;ref!$B$5&amp;IFERROR(VLOOKUP(B7,[1]list!$A:$D,4,FALSE),"")</f>
        <v>/fs/lilietnene/c/khadiandco</v>
      </c>
      <c r="E7" t="str">
        <f>IFERROR(VLOOKUP(B7,[1]list!$A:$AC,29,FALSE),"")</f>
        <v>9001006</v>
      </c>
    </row>
    <row r="8" spans="1:5">
      <c r="A8">
        <v>6</v>
      </c>
      <c r="B8" t="s">
        <v>509</v>
      </c>
      <c r="C8" t="str">
        <f>IFERROR(VLOOKUP(B8,[1]list!$A:$B,2,FALSE),"")</f>
        <v>ビオブ バイ エコボ</v>
      </c>
      <c r="D8" t="str">
        <f>ref!$B$4&amp;ref!$B$5&amp;IFERROR(VLOOKUP(B8,[1]list!$A:$D,4,FALSE),"")</f>
        <v>/fs/lilietnene/c/biobubyekobo</v>
      </c>
      <c r="E8" t="str">
        <f>IFERROR(VLOOKUP(B8,[1]list!$A:$AC,29,FALSE),"")</f>
        <v>9001007</v>
      </c>
    </row>
    <row r="9" spans="1:5">
      <c r="A9">
        <v>7</v>
      </c>
      <c r="B9" t="s">
        <v>152</v>
      </c>
      <c r="C9" t="str">
        <f>IFERROR(VLOOKUP(B9,[1]list!$A:$B,2,FALSE),"")</f>
        <v>コーラルアンドタスク</v>
      </c>
      <c r="D9" t="str">
        <f>ref!$B$4&amp;ref!$B$5&amp;IFERROR(VLOOKUP(B9,[1]list!$A:$D,4,FALSE),"")</f>
        <v>/fs/lilietnene/c/coraltusk</v>
      </c>
      <c r="E9" t="str">
        <f>IFERROR(VLOOKUP(B9,[1]list!$A:$AC,29,FALSE),"")</f>
        <v>9001008</v>
      </c>
    </row>
    <row r="10" spans="1:5">
      <c r="A10">
        <v>8</v>
      </c>
      <c r="B10" t="s">
        <v>2287</v>
      </c>
      <c r="C10" t="str">
        <f>IFERROR(VLOOKUP(B10,[1]list!$A:$B,2,FALSE),"")</f>
        <v>エリザベスダブリュー</v>
      </c>
      <c r="D10" t="str">
        <f>ref!$B$4&amp;ref!$B$5&amp;IFERROR(VLOOKUP(B10,[1]list!$A:$D,4,FALSE),"")</f>
        <v>/fs/lilietnene/c/elizabethw</v>
      </c>
      <c r="E10" t="str">
        <f>IFERROR(VLOOKUP(B10,[1]list!$A:$AC,29,FALSE),"")</f>
        <v>9001009</v>
      </c>
    </row>
  </sheetData>
  <sortState ref="B2:F10">
    <sortCondition ref="E2:E10"/>
  </sortState>
  <phoneticPr fontId="18"/>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E13"/>
  <sheetViews>
    <sheetView workbookViewId="0">
      <selection activeCell="I45" sqref="I45"/>
    </sheetView>
  </sheetViews>
  <sheetFormatPr defaultRowHeight="13.5"/>
  <cols>
    <col min="2" max="2" width="19.25" bestFit="1" customWidth="1"/>
    <col min="3" max="3" width="19.25" customWidth="1"/>
    <col min="4" max="4" width="28.375" bestFit="1" customWidth="1"/>
  </cols>
  <sheetData>
    <row r="1" spans="1:5">
      <c r="A1" t="s">
        <v>1930</v>
      </c>
      <c r="B1" t="s">
        <v>9</v>
      </c>
      <c r="C1" t="s">
        <v>1941</v>
      </c>
      <c r="D1" t="s">
        <v>14</v>
      </c>
      <c r="E1" t="s">
        <v>2284</v>
      </c>
    </row>
    <row r="2" spans="1:5">
      <c r="A2">
        <v>0</v>
      </c>
      <c r="B2" t="s">
        <v>137</v>
      </c>
      <c r="C2" t="str">
        <f>IFERROR(VLOOKUP(B2,[1]list!$A:$B,2,FALSE),"")</f>
        <v>センガー</v>
      </c>
      <c r="D2" t="str">
        <f>ref!$B$4&amp;ref!$B$5&amp;IFERROR(VLOOKUP(B2,[1]list!$A:$D,4,FALSE),"")</f>
        <v>/fs/lilietnene/c/senger</v>
      </c>
      <c r="E2" t="str">
        <f>IFERROR(VLOOKUP(B2,[1]list!$A:$AC,29,FALSE),"")</f>
        <v>9004001</v>
      </c>
    </row>
    <row r="3" spans="1:5">
      <c r="A3">
        <v>1</v>
      </c>
      <c r="B3" t="s">
        <v>136</v>
      </c>
      <c r="C3" t="str">
        <f>IFERROR(VLOOKUP(B3,[1]list!$A:$B,2,FALSE),"")</f>
        <v>トラセリア</v>
      </c>
      <c r="D3" t="str">
        <f>ref!$B$4&amp;ref!$B$5&amp;IFERROR(VLOOKUP(B3,[1]list!$A:$D,4,FALSE),"")</f>
        <v>/fs/lilietnene/c/trousselier</v>
      </c>
      <c r="E3" t="str">
        <f>IFERROR(VLOOKUP(B3,[1]list!$A:$AC,29,FALSE),"")</f>
        <v>9004002</v>
      </c>
    </row>
    <row r="4" spans="1:5">
      <c r="A4">
        <v>2</v>
      </c>
      <c r="B4" t="s">
        <v>140</v>
      </c>
      <c r="C4" t="str">
        <f>IFERROR(VLOOKUP(B4,[1]list!$A:$B,2,FALSE),"")</f>
        <v>ネフ</v>
      </c>
      <c r="D4" t="str">
        <f>ref!$B$4&amp;ref!$B$5&amp;IFERROR(VLOOKUP(B4,[1]list!$A:$D,4,FALSE),"")</f>
        <v>/fs/lilietnene/c/naef</v>
      </c>
      <c r="E4" t="str">
        <f>IFERROR(VLOOKUP(B4,[1]list!$A:$AC,29,FALSE),"")</f>
        <v>9004003</v>
      </c>
    </row>
    <row r="5" spans="1:5">
      <c r="A5">
        <v>3</v>
      </c>
      <c r="B5" t="s">
        <v>554</v>
      </c>
      <c r="C5" t="str">
        <f>IFERROR(VLOOKUP(B5,[1]list!$A:$B,2,FALSE),"")</f>
        <v>キコ</v>
      </c>
      <c r="D5" t="str">
        <f>ref!$B$4&amp;ref!$B$5&amp;IFERROR(VLOOKUP(B5,[1]list!$A:$D,4,FALSE),"")</f>
        <v>/fs/lilietnene/c/kiko</v>
      </c>
      <c r="E5" t="str">
        <f>IFERROR(VLOOKUP(B5,[1]list!$A:$AC,29,FALSE),"")</f>
        <v>9004004</v>
      </c>
    </row>
    <row r="6" spans="1:5">
      <c r="A6">
        <v>4</v>
      </c>
      <c r="B6" t="s">
        <v>527</v>
      </c>
      <c r="C6" t="str">
        <f>IFERROR(VLOOKUP(B6,[1]list!$A:$B,2,FALSE),"")</f>
        <v>ジジ</v>
      </c>
      <c r="D6" t="str">
        <f>ref!$B$4&amp;ref!$B$5&amp;IFERROR(VLOOKUP(B6,[1]list!$A:$D,4,FALSE),"")</f>
        <v>/fs/lilietnene/c/gg</v>
      </c>
      <c r="E6" t="str">
        <f>IFERROR(VLOOKUP(B6,[1]list!$A:$AC,29,FALSE),"")</f>
        <v>9004005</v>
      </c>
    </row>
    <row r="7" spans="1:5">
      <c r="A7">
        <v>5</v>
      </c>
      <c r="B7" t="s">
        <v>138</v>
      </c>
      <c r="C7" t="str">
        <f>IFERROR(VLOOKUP(B7,[1]list!$A:$B,2,FALSE),"")</f>
        <v>ジーナ</v>
      </c>
      <c r="D7" t="str">
        <f>ref!$B$4&amp;ref!$B$5&amp;IFERROR(VLOOKUP(B7,[1]list!$A:$D,4,FALSE),"")</f>
        <v>/fs/lilietnene/c/sina</v>
      </c>
      <c r="E7" t="str">
        <f>IFERROR(VLOOKUP(B7,[1]list!$A:$AC,29,FALSE),"")</f>
        <v>9004006</v>
      </c>
    </row>
    <row r="8" spans="1:5">
      <c r="A8">
        <v>6</v>
      </c>
      <c r="B8" t="s">
        <v>590</v>
      </c>
      <c r="C8" t="str">
        <f>IFERROR(VLOOKUP(B8,[1]list!$A:$B,2,FALSE),"")</f>
        <v>ニック</v>
      </c>
      <c r="D8" t="str">
        <f>ref!$B$4&amp;ref!$B$5&amp;IFERROR(VLOOKUP(B8,[1]list!$A:$D,4,FALSE),"")</f>
        <v>/fs/lilietnene/c/nic</v>
      </c>
      <c r="E8" t="str">
        <f>IFERROR(VLOOKUP(B8,[1]list!$A:$AC,29,FALSE),"")</f>
        <v>9004007</v>
      </c>
    </row>
    <row r="9" spans="1:5">
      <c r="A9">
        <v>7</v>
      </c>
      <c r="B9" t="s">
        <v>156</v>
      </c>
      <c r="C9" t="str">
        <f>IFERROR(VLOOKUP(B9,[1]list!$A:$B,2,FALSE),"")</f>
        <v>ナタリーレテ</v>
      </c>
      <c r="D9" t="str">
        <f>ref!$B$4&amp;ref!$B$5&amp;IFERROR(VLOOKUP(B9,[1]list!$A:$D,4,FALSE),"")</f>
        <v>/fs/lilietnene/c/nathalielete</v>
      </c>
      <c r="E9" t="str">
        <f>IFERROR(VLOOKUP(B9,[1]list!$A:$AC,29,FALSE),"")</f>
        <v>9004008</v>
      </c>
    </row>
    <row r="10" spans="1:5">
      <c r="A10">
        <v>8</v>
      </c>
      <c r="B10" t="s">
        <v>558</v>
      </c>
      <c r="C10" t="str">
        <f>IFERROR(VLOOKUP(B10,[1]list!$A:$B,2,FALSE),"")</f>
        <v>ケーセン</v>
      </c>
      <c r="D10" t="str">
        <f>ref!$B$4&amp;ref!$B$5&amp;IFERROR(VLOOKUP(B10,[1]list!$A:$D,4,FALSE),"")</f>
        <v>/fs/lilietnene/c/koesen</v>
      </c>
      <c r="E10" t="str">
        <f>IFERROR(VLOOKUP(B10,[1]list!$A:$AC,29,FALSE),"")</f>
        <v>9004009</v>
      </c>
    </row>
    <row r="11" spans="1:5">
      <c r="A11">
        <v>9</v>
      </c>
      <c r="B11" t="s">
        <v>543</v>
      </c>
      <c r="C11" t="str">
        <f>IFERROR(VLOOKUP(B11,[1]list!$A:$B,2,FALSE),"")</f>
        <v>カリスト</v>
      </c>
      <c r="D11" t="str">
        <f>ref!$B$4&amp;ref!$B$5&amp;IFERROR(VLOOKUP(B11,[1]list!$A:$D,4,FALSE),"")</f>
        <v>/fs/lilietnene/c/kallisto</v>
      </c>
      <c r="E11" t="str">
        <f>IFERROR(VLOOKUP(B11,[1]list!$A:$AC,29,FALSE),"")</f>
        <v>9004010</v>
      </c>
    </row>
    <row r="12" spans="1:5">
      <c r="A12">
        <v>10</v>
      </c>
      <c r="B12" t="s">
        <v>547</v>
      </c>
      <c r="C12" t="str">
        <f>IFERROR(VLOOKUP(B12,[1]list!$A:$B,2,FALSE),"")</f>
        <v>ケテクルーゼ</v>
      </c>
      <c r="D12" t="str">
        <f>ref!$B$4&amp;ref!$B$5&amp;IFERROR(VLOOKUP(B12,[1]list!$A:$D,4,FALSE),"")</f>
        <v>/fs/lilietnene/c/kathekruse</v>
      </c>
      <c r="E12" t="str">
        <f>IFERROR(VLOOKUP(B12,[1]list!$A:$AC,29,FALSE),"")</f>
        <v>9004011</v>
      </c>
    </row>
    <row r="13" spans="1:5">
      <c r="A13">
        <v>11</v>
      </c>
      <c r="B13" t="s">
        <v>550</v>
      </c>
      <c r="C13" t="str">
        <f>IFERROR(VLOOKUP(B13,[1]list!$A:$B,2,FALSE),"")</f>
        <v>キーナー</v>
      </c>
      <c r="D13" t="str">
        <f>ref!$B$4&amp;ref!$B$5&amp;IFERROR(VLOOKUP(B13,[1]list!$A:$D,4,FALSE),"")</f>
        <v>/fs/lilietnene/c/kiener</v>
      </c>
      <c r="E13" t="str">
        <f>IFERROR(VLOOKUP(B13,[1]list!$A:$AC,29,FALSE),"")</f>
        <v>9004012</v>
      </c>
    </row>
  </sheetData>
  <sortState ref="B2:E14">
    <sortCondition ref="E2:E14"/>
  </sortState>
  <phoneticPr fontId="18"/>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4"/>
  <sheetViews>
    <sheetView workbookViewId="0">
      <selection activeCell="A16" sqref="A16"/>
    </sheetView>
  </sheetViews>
  <sheetFormatPr defaultRowHeight="13.5"/>
  <cols>
    <col min="2" max="2" width="16.625" bestFit="1" customWidth="1"/>
  </cols>
  <sheetData>
    <row r="1" spans="1:3">
      <c r="A1" t="s">
        <v>1953</v>
      </c>
      <c r="B1" t="s">
        <v>9</v>
      </c>
      <c r="C1" t="s">
        <v>1952</v>
      </c>
    </row>
    <row r="2" spans="1:3">
      <c r="A2">
        <v>0</v>
      </c>
      <c r="B2" t="s">
        <v>2661</v>
      </c>
      <c r="C2" t="str">
        <f>ref!$B$4&amp;SUBSTITUTE(ref!$B$6,"●","gift-baby")</f>
        <v>/fs/lilietnene/GoodsSearchList.html?_e_k=%82%60&amp;keyword=gift-baby&amp;searchBtn.x=0&amp;searchBtn.y=0</v>
      </c>
    </row>
    <row r="3" spans="1:3">
      <c r="A3">
        <v>1</v>
      </c>
      <c r="B3" t="s">
        <v>2663</v>
      </c>
      <c r="C3" t="str">
        <f>ref!$B$4&amp;SUBSTITUTE(ref!$B$6,"●","gift-kids")</f>
        <v>/fs/lilietnene/GoodsSearchList.html?_e_k=%82%60&amp;keyword=gift-kids&amp;searchBtn.x=0&amp;searchBtn.y=0</v>
      </c>
    </row>
    <row r="4" spans="1:3">
      <c r="A4">
        <v>2</v>
      </c>
      <c r="B4" t="s">
        <v>2665</v>
      </c>
      <c r="C4" t="str">
        <f>ref!$B$4&amp;SUBSTITUTE(ref!$B$6,"●","gift-women")</f>
        <v>/fs/lilietnene/GoodsSearchList.html?_e_k=%82%60&amp;keyword=gift-women&amp;searchBtn.x=0&amp;searchBtn.y=0</v>
      </c>
    </row>
  </sheetData>
  <phoneticPr fontId="18"/>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C3"/>
  <sheetViews>
    <sheetView workbookViewId="0">
      <selection activeCell="C4" sqref="C4"/>
    </sheetView>
  </sheetViews>
  <sheetFormatPr defaultRowHeight="13.5"/>
  <cols>
    <col min="2" max="2" width="19.5" bestFit="1" customWidth="1"/>
  </cols>
  <sheetData>
    <row r="1" spans="1:3">
      <c r="A1" t="s">
        <v>1957</v>
      </c>
      <c r="B1" t="s">
        <v>9</v>
      </c>
      <c r="C1" t="s">
        <v>1956</v>
      </c>
    </row>
    <row r="2" spans="1:3">
      <c r="A2">
        <v>0</v>
      </c>
      <c r="B2" t="s">
        <v>149</v>
      </c>
      <c r="C2" s="1" t="s">
        <v>3431</v>
      </c>
    </row>
    <row r="3" spans="1:3">
      <c r="A3">
        <v>1</v>
      </c>
      <c r="B3" t="s">
        <v>2666</v>
      </c>
      <c r="C3" t="s">
        <v>3433</v>
      </c>
    </row>
  </sheetData>
  <phoneticPr fontId="18"/>
  <hyperlinks>
    <hyperlink ref="C2" r:id="rId1" display="http://www.lilietnene.com/fs/lilietnene/c/couprio-giftset"/>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8"/>
  <sheetViews>
    <sheetView workbookViewId="0">
      <selection activeCell="M35" sqref="M35"/>
    </sheetView>
  </sheetViews>
  <sheetFormatPr defaultRowHeight="13.5"/>
  <cols>
    <col min="2" max="2" width="20.125" bestFit="1" customWidth="1"/>
  </cols>
  <sheetData>
    <row r="1" spans="1:3">
      <c r="A1" t="s">
        <v>1955</v>
      </c>
      <c r="B1" t="s">
        <v>9</v>
      </c>
      <c r="C1" t="s">
        <v>1954</v>
      </c>
    </row>
    <row r="2" spans="1:3">
      <c r="A2">
        <v>0</v>
      </c>
      <c r="B2" t="s">
        <v>142</v>
      </c>
      <c r="C2" t="str">
        <f>ref!$B$4&amp;"GoodsSearchList.html?_e_k=Ａ&amp;tag=gift-baby-price&amp;goodsno=&amp;keyword=&amp;minprice=100&amp;maxprice=3000&amp;searchBtn.x=0&amp;searchBtn.y=0"</f>
        <v>/fs/lilietnene/GoodsSearchList.html?_e_k=Ａ&amp;tag=gift-baby-price&amp;goodsno=&amp;keyword=&amp;minprice=100&amp;maxprice=3000&amp;searchBtn.x=0&amp;searchBtn.y=0</v>
      </c>
    </row>
    <row r="3" spans="1:3">
      <c r="A3">
        <v>1</v>
      </c>
      <c r="B3" t="s">
        <v>143</v>
      </c>
      <c r="C3" t="str">
        <f>ref!$B$4&amp;"GoodsSearchList.html?_e_k=Ａ&amp;tag=gift-baby-price&amp;goodsno=&amp;keyword=&amp;minprice=3001&amp;maxprice=5000&amp;searchBtn.x=0&amp;searchBtn.y=0"</f>
        <v>/fs/lilietnene/GoodsSearchList.html?_e_k=Ａ&amp;tag=gift-baby-price&amp;goodsno=&amp;keyword=&amp;minprice=3001&amp;maxprice=5000&amp;searchBtn.x=0&amp;searchBtn.y=0</v>
      </c>
    </row>
    <row r="4" spans="1:3">
      <c r="A4">
        <v>2</v>
      </c>
      <c r="B4" t="s">
        <v>144</v>
      </c>
      <c r="C4" t="str">
        <f>ref!$B$4&amp;"GoodsSearchList.html?_e_k=Ａ&amp;tag=gift-baby-price&amp;goodsno=&amp;keyword=&amp;minprice=5001&amp;maxprice=8000&amp;searchBtn.x=0&amp;searchBtn.y=0"</f>
        <v>/fs/lilietnene/GoodsSearchList.html?_e_k=Ａ&amp;tag=gift-baby-price&amp;goodsno=&amp;keyword=&amp;minprice=5001&amp;maxprice=8000&amp;searchBtn.x=0&amp;searchBtn.y=0</v>
      </c>
    </row>
    <row r="5" spans="1:3">
      <c r="A5">
        <v>3</v>
      </c>
      <c r="B5" t="s">
        <v>145</v>
      </c>
      <c r="C5" t="str">
        <f>ref!$B$4&amp;"GoodsSearchList.html?_e_k=Ａ&amp;tag=gift-baby-price&amp;goodsno=&amp;keyword=&amp;minprice=8001&amp;maxprice=10000&amp;searchBtn.x=0&amp;searchBtn.y=0"</f>
        <v>/fs/lilietnene/GoodsSearchList.html?_e_k=Ａ&amp;tag=gift-baby-price&amp;goodsno=&amp;keyword=&amp;minprice=8001&amp;maxprice=10000&amp;searchBtn.x=0&amp;searchBtn.y=0</v>
      </c>
    </row>
    <row r="6" spans="1:3">
      <c r="A6">
        <v>4</v>
      </c>
      <c r="B6" t="s">
        <v>146</v>
      </c>
      <c r="C6" t="str">
        <f>ref!$B$4&amp;"GoodsSearchList.html?_e_k=Ａ&amp;tag=gift-baby-price&amp;goodsno=&amp;keyword=&amp;minprice=10001&amp;maxprice=15000&amp;searchBtn.x=0&amp;searchBtn.y=0"</f>
        <v>/fs/lilietnene/GoodsSearchList.html?_e_k=Ａ&amp;tag=gift-baby-price&amp;goodsno=&amp;keyword=&amp;minprice=10001&amp;maxprice=15000&amp;searchBtn.x=0&amp;searchBtn.y=0</v>
      </c>
    </row>
    <row r="7" spans="1:3">
      <c r="A7">
        <v>5</v>
      </c>
      <c r="B7" t="s">
        <v>147</v>
      </c>
      <c r="C7" t="str">
        <f>ref!$B$4&amp;"GoodsSearchList.html?_e_k=Ａ&amp;tag=gift-baby-price&amp;goodsno=&amp;keyword=&amp;minprice=15001&amp;maxprice=20000&amp;searchBtn.x=0&amp;searchBtn.y=0"</f>
        <v>/fs/lilietnene/GoodsSearchList.html?_e_k=Ａ&amp;tag=gift-baby-price&amp;goodsno=&amp;keyword=&amp;minprice=15001&amp;maxprice=20000&amp;searchBtn.x=0&amp;searchBtn.y=0</v>
      </c>
    </row>
    <row r="8" spans="1:3">
      <c r="A8">
        <v>6</v>
      </c>
      <c r="B8" t="s">
        <v>148</v>
      </c>
      <c r="C8" t="str">
        <f>ref!$B$4&amp;"GoodsSearchList.html?_e_k=Ａ&amp;tag=gift-baby-price&amp;goodsno=&amp;keyword=&amp;minprice=20001&amp;maxprice=200000&amp;searchBtn.x=0&amp;searchBtn.y=0"</f>
        <v>/fs/lilietnene/GoodsSearchList.html?_e_k=Ａ&amp;tag=gift-baby-price&amp;goodsno=&amp;keyword=&amp;minprice=20001&amp;maxprice=200000&amp;searchBtn.x=0&amp;searchBtn.y=0</v>
      </c>
    </row>
  </sheetData>
  <phoneticPr fontId="18"/>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C3"/>
  <sheetViews>
    <sheetView workbookViewId="0">
      <selection activeCell="B27" sqref="B27"/>
    </sheetView>
  </sheetViews>
  <sheetFormatPr defaultRowHeight="13.5"/>
  <cols>
    <col min="2" max="2" width="20.125" bestFit="1" customWidth="1"/>
  </cols>
  <sheetData>
    <row r="1" spans="1:3">
      <c r="A1" t="s">
        <v>16</v>
      </c>
      <c r="B1" t="s">
        <v>9</v>
      </c>
      <c r="C1" t="s">
        <v>14</v>
      </c>
    </row>
    <row r="2" spans="1:3">
      <c r="A2">
        <v>0</v>
      </c>
      <c r="B2" t="s">
        <v>3188</v>
      </c>
      <c r="C2" t="s">
        <v>3192</v>
      </c>
    </row>
    <row r="3" spans="1:3">
      <c r="A3">
        <v>1</v>
      </c>
      <c r="B3" t="s">
        <v>3190</v>
      </c>
      <c r="C3" t="s">
        <v>3194</v>
      </c>
    </row>
  </sheetData>
  <phoneticPr fontId="18"/>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C6"/>
  <sheetViews>
    <sheetView workbookViewId="0">
      <selection activeCell="A7" sqref="A7"/>
    </sheetView>
  </sheetViews>
  <sheetFormatPr defaultRowHeight="13.5"/>
  <cols>
    <col min="2" max="2" width="20.125" bestFit="1" customWidth="1"/>
  </cols>
  <sheetData>
    <row r="1" spans="1:3">
      <c r="A1" t="s">
        <v>16</v>
      </c>
      <c r="B1" t="s">
        <v>9</v>
      </c>
      <c r="C1" t="s">
        <v>14</v>
      </c>
    </row>
    <row r="2" spans="1:3">
      <c r="A2">
        <v>0</v>
      </c>
      <c r="B2" t="s">
        <v>3613</v>
      </c>
      <c r="C2" t="s">
        <v>3608</v>
      </c>
    </row>
    <row r="3" spans="1:3">
      <c r="A3">
        <v>1</v>
      </c>
      <c r="B3" t="s">
        <v>3614</v>
      </c>
      <c r="C3" t="s">
        <v>3609</v>
      </c>
    </row>
    <row r="4" spans="1:3">
      <c r="A4">
        <v>2</v>
      </c>
      <c r="B4" t="s">
        <v>3615</v>
      </c>
      <c r="C4" t="s">
        <v>3610</v>
      </c>
    </row>
    <row r="5" spans="1:3">
      <c r="A5">
        <v>3</v>
      </c>
      <c r="B5" t="s">
        <v>3616</v>
      </c>
      <c r="C5" t="s">
        <v>3611</v>
      </c>
    </row>
    <row r="6" spans="1:3">
      <c r="A6">
        <v>4</v>
      </c>
      <c r="B6" t="s">
        <v>3618</v>
      </c>
      <c r="C6" t="s">
        <v>3612</v>
      </c>
    </row>
  </sheetData>
  <phoneticPr fontId="18"/>
  <pageMargins left="0.7" right="0.7" top="0.75" bottom="0.75" header="0.3" footer="0.3"/>
  <pageSetup paperSize="9" orientation="portrait" horizontalDpi="4294967293"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C7"/>
  <sheetViews>
    <sheetView workbookViewId="0">
      <selection activeCell="B8" sqref="B8"/>
    </sheetView>
  </sheetViews>
  <sheetFormatPr defaultRowHeight="13.5"/>
  <cols>
    <col min="2" max="2" width="20.125" bestFit="1" customWidth="1"/>
  </cols>
  <sheetData>
    <row r="1" spans="1:3">
      <c r="A1" t="s">
        <v>16</v>
      </c>
      <c r="B1" t="s">
        <v>9</v>
      </c>
      <c r="C1" t="s">
        <v>14</v>
      </c>
    </row>
    <row r="2" spans="1:3">
      <c r="A2">
        <v>0</v>
      </c>
      <c r="B2" t="s">
        <v>3198</v>
      </c>
      <c r="C2" t="s">
        <v>3210</v>
      </c>
    </row>
    <row r="3" spans="1:3">
      <c r="A3">
        <v>1</v>
      </c>
      <c r="B3" t="s">
        <v>149</v>
      </c>
      <c r="C3" t="s">
        <v>3202</v>
      </c>
    </row>
    <row r="4" spans="1:3">
      <c r="A4">
        <v>2</v>
      </c>
      <c r="B4" t="s">
        <v>3195</v>
      </c>
      <c r="C4" t="s">
        <v>3204</v>
      </c>
    </row>
    <row r="5" spans="1:3">
      <c r="A5">
        <v>3</v>
      </c>
      <c r="B5" t="s">
        <v>3196</v>
      </c>
      <c r="C5" t="s">
        <v>3206</v>
      </c>
    </row>
    <row r="6" spans="1:3">
      <c r="A6">
        <v>4</v>
      </c>
      <c r="B6" t="s">
        <v>3197</v>
      </c>
      <c r="C6" t="s">
        <v>3208</v>
      </c>
    </row>
    <row r="7" spans="1:3">
      <c r="A7">
        <v>5</v>
      </c>
      <c r="B7" t="s">
        <v>3435</v>
      </c>
      <c r="C7" t="s">
        <v>3200</v>
      </c>
    </row>
  </sheetData>
  <phoneticPr fontId="18"/>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C000"/>
  </sheetPr>
  <dimension ref="A1:M100"/>
  <sheetViews>
    <sheetView topLeftCell="A56" workbookViewId="0">
      <selection activeCell="B2" sqref="B2"/>
    </sheetView>
  </sheetViews>
  <sheetFormatPr defaultRowHeight="13.5"/>
  <cols>
    <col min="2" max="2" width="19.25" bestFit="1" customWidth="1"/>
    <col min="3" max="4" width="10.75" customWidth="1"/>
    <col min="5" max="5" width="36.375" customWidth="1"/>
    <col min="6" max="6" width="15.5" customWidth="1"/>
    <col min="7" max="8" width="10.75" customWidth="1"/>
    <col min="9" max="9" width="18.875" bestFit="1" customWidth="1"/>
    <col min="13" max="13" width="13.25" customWidth="1"/>
  </cols>
  <sheetData>
    <row r="1" spans="1:13">
      <c r="A1" t="s">
        <v>1958</v>
      </c>
      <c r="B1" t="s">
        <v>1960</v>
      </c>
      <c r="C1" t="s">
        <v>1913</v>
      </c>
      <c r="D1" t="s">
        <v>1912</v>
      </c>
      <c r="E1" t="s">
        <v>1905</v>
      </c>
      <c r="F1" t="s">
        <v>13</v>
      </c>
      <c r="G1" t="s">
        <v>2274</v>
      </c>
      <c r="H1" t="s">
        <v>10</v>
      </c>
      <c r="I1" t="s">
        <v>2285</v>
      </c>
      <c r="J1" t="s">
        <v>1975</v>
      </c>
      <c r="K1" t="s">
        <v>1976</v>
      </c>
      <c r="L1" t="s">
        <v>2275</v>
      </c>
      <c r="M1" t="s">
        <v>2637</v>
      </c>
    </row>
    <row r="2" spans="1:13">
      <c r="A2">
        <v>0</v>
      </c>
      <c r="B2" t="s">
        <v>51</v>
      </c>
      <c r="C2" t="str">
        <f>IFERROR(VLOOKUP(B2,[1]list!$A:$B,2,FALSE),"")</f>
        <v>アルバム ディ　ファミリア</v>
      </c>
      <c r="D2" t="str">
        <f>IFERROR(VLOOKUP(B2,[1]list!$A:$F,6,FALSE),"")</f>
        <v>イタリアの子供服ブランド「ALBUM DI FAMIGLIA（アルバム ディ ファミリア）」。現代的でミニマルなデザインと上質なコットンの肌触りが好評をうけ、イタリアをはじめヨーロッパで人気を集めています。</v>
      </c>
      <c r="E2" t="str">
        <f>ref!$B$4&amp;ref!$B$5&amp;IFERROR(VLOOKUP(B2,[1]list!$A:$D,4,FALSE),"")</f>
        <v>/fs/lilietnene/c/albumdifamiglia</v>
      </c>
      <c r="F2" s="1" t="str">
        <f>IFERROR(VLOOKUP(B2,[1]list!$A:$E,5,FALSE),"")</f>
        <v>albumdifamiglia</v>
      </c>
      <c r="G2" t="str">
        <f t="shared" ref="G2:G32" si="0">B2&amp;" "&amp;C2</f>
        <v>ALBUM DI FAMIGLIA アルバム ディ　ファミリア</v>
      </c>
      <c r="H2" t="str">
        <f>SUBSTITUTE(IFERROR(VLOOKUP(B2,[1]list!$A:$U,21,FALSE),""),"0","")</f>
        <v>ウエア</v>
      </c>
      <c r="I2" t="str">
        <f>LOWER(TRIM(IFERROR(VLOOKUP(B2,[1]list!$A:$R,15,FALSE)&amp;" ","")&amp;IFERROR(VLOOKUP(B2,[1]list!$A:$R,16,FALSE)&amp;" ","")&amp;IFERROR(VLOOKUP(B2,[1]list!$A:$R,18,FALSE)&amp;" ","")&amp;IFERROR(VLOOKUP(B2,[1]list!$A:$S,19,FALSE)&amp;" ","")&amp;IFERROR(VLOOKUP(B2,[1]list!$A:$T,20,FALSE)&amp;" ","")))</f>
        <v>baby kids</v>
      </c>
      <c r="J2" t="str">
        <f>SUBSTITUTE(IFERROR(VLOOKUP(B2,[1]list!$A:$R,15,FALSE)&amp;" ","")," ","")</f>
        <v>BABY</v>
      </c>
      <c r="K2" t="str">
        <f>SUBSTITUTE(IFERROR(VLOOKUP(B2,[1]list!$A:$R,16,FALSE)&amp;" ","")," ","")</f>
        <v>KIDS</v>
      </c>
      <c r="L2" t="str">
        <f>SUBSTITUTE(IFERROR(VLOOKUP(B2,[1]list!$A:$R,18,FALSE)&amp;" ","")," ","")</f>
        <v/>
      </c>
      <c r="M2" t="s">
        <v>1961</v>
      </c>
    </row>
    <row r="3" spans="1:13">
      <c r="A3">
        <v>1</v>
      </c>
      <c r="B3" t="s">
        <v>67</v>
      </c>
      <c r="C3" t="str">
        <f>IFERROR(VLOOKUP(B3,[1]list!$A:$B,2,FALSE),"")</f>
        <v>アメリカンアウトフィッターズ</v>
      </c>
      <c r="D3" t="str">
        <f>IFERROR(VLOOKUP(B3,[1]list!$A:$F,6,FALSE),"")</f>
        <v>ベルギーのブランド、「AMERICAN OUTFITTERS（アメリカン・アウトフィッターズ）」はベルギーから見たアメリカンカジュアルスタイルがコンセプト。独特の色味とデザインの個性豊かなアイテムが魅力です。</v>
      </c>
      <c r="E3" t="str">
        <f>ref!$B$4&amp;ref!$B$5&amp;IFERROR(VLOOKUP(B3,[1]list!$A:$D,4,FALSE),"")</f>
        <v>/fs/lilietnene/c/ao</v>
      </c>
      <c r="F3" s="1" t="str">
        <f>IFERROR(VLOOKUP(B3,[1]list!$A:$E,5,FALSE),"")</f>
        <v>ao</v>
      </c>
      <c r="G3" t="str">
        <f t="shared" si="0"/>
        <v>AMERICAN OUTFITTERS アメリカンアウトフィッターズ</v>
      </c>
      <c r="H3" t="str">
        <f>SUBSTITUTE(IFERROR(VLOOKUP(B3,[1]list!$A:$U,21,FALSE),""),"0","")</f>
        <v>ウエア</v>
      </c>
      <c r="I3" t="str">
        <f>LOWER(TRIM(IFERROR(VLOOKUP(B3,[1]list!$A:$R,15,FALSE)&amp;" ","")&amp;IFERROR(VLOOKUP(B3,[1]list!$A:$R,16,FALSE)&amp;" ","")&amp;IFERROR(VLOOKUP(B3,[1]list!$A:$R,18,FALSE)&amp;" ","")&amp;IFERROR(VLOOKUP(B3,[1]list!$A:$S,19,FALSE)&amp;" ","")&amp;IFERROR(VLOOKUP(B3,[1]list!$A:$T,20,FALSE)&amp;" ","")))</f>
        <v>kids</v>
      </c>
      <c r="J3" t="str">
        <f>SUBSTITUTE(IFERROR(VLOOKUP(B3,[1]list!$A:$R,15,FALSE)&amp;" ","")," ","")</f>
        <v/>
      </c>
      <c r="K3" t="str">
        <f>SUBSTITUTE(IFERROR(VLOOKUP(B3,[1]list!$A:$R,16,FALSE)&amp;" ","")," ","")</f>
        <v>KIDS</v>
      </c>
      <c r="L3" t="str">
        <f>SUBSTITUTE(IFERROR(VLOOKUP(B3,[1]list!$A:$R,18,FALSE)&amp;" ","")," ","")</f>
        <v/>
      </c>
      <c r="M3" t="str">
        <f t="shared" ref="M3:M33" si="1">LEFT(B3,1)</f>
        <v>A</v>
      </c>
    </row>
    <row r="4" spans="1:13">
      <c r="A4">
        <v>2</v>
      </c>
      <c r="B4" t="s">
        <v>82</v>
      </c>
      <c r="C4" t="str">
        <f>IFERROR(VLOOKUP(B4,[1]list!$A:$B,2,FALSE),"")</f>
        <v>アニエル</v>
      </c>
      <c r="D4" t="str">
        <f>IFERROR(VLOOKUP(B4,[1]list!$A:$F,6,FALSE),"")</f>
        <v>1976年スタートしたスポーツシューズを製造するイタリアのブランド「ANNIEL（アニエル）」。機能性や履き心地とともに、女性的でしなやかなフォルムが魅力。何も履いていないような軽さが多くのファンを魅了しています。キッズシューズも好評です。</v>
      </c>
      <c r="E4" t="str">
        <f>ref!$B$4&amp;ref!$B$5&amp;IFERROR(VLOOKUP(B4,[1]list!$A:$D,4,FALSE),"")</f>
        <v>/fs/lilietnene/c/anniel</v>
      </c>
      <c r="F4" s="1" t="str">
        <f>IFERROR(VLOOKUP(B4,[1]list!$A:$E,5,FALSE),"")</f>
        <v>anniel</v>
      </c>
      <c r="G4" t="str">
        <f t="shared" si="0"/>
        <v>ANNIEL アニエル</v>
      </c>
      <c r="H4" t="str">
        <f>SUBSTITUTE(IFERROR(VLOOKUP(B4,[1]list!$A:$U,21,FALSE),""),"0","")</f>
        <v>シューズ</v>
      </c>
      <c r="I4" t="str">
        <f>LOWER(TRIM(IFERROR(VLOOKUP(B4,[1]list!$A:$R,15,FALSE)&amp;" ","")&amp;IFERROR(VLOOKUP(B4,[1]list!$A:$R,16,FALSE)&amp;" ","")&amp;IFERROR(VLOOKUP(B4,[1]list!$A:$R,18,FALSE)&amp;" ","")&amp;IFERROR(VLOOKUP(B4,[1]list!$A:$S,19,FALSE)&amp;" ","")&amp;IFERROR(VLOOKUP(B4,[1]list!$A:$T,20,FALSE)&amp;" ","")))</f>
        <v>woman</v>
      </c>
      <c r="J4" t="str">
        <f>SUBSTITUTE(IFERROR(VLOOKUP(B4,[1]list!$A:$R,15,FALSE)&amp;" ","")," ","")</f>
        <v/>
      </c>
      <c r="K4" t="str">
        <f>SUBSTITUTE(IFERROR(VLOOKUP(B4,[1]list!$A:$R,16,FALSE)&amp;" ","")," ","")</f>
        <v/>
      </c>
      <c r="L4" t="str">
        <f>SUBSTITUTE(IFERROR(VLOOKUP(B4,[1]list!$A:$R,18,FALSE)&amp;" ","")," ","")</f>
        <v>WOMAN</v>
      </c>
      <c r="M4" t="str">
        <f t="shared" si="1"/>
        <v>A</v>
      </c>
    </row>
    <row r="5" spans="1:13">
      <c r="A5">
        <v>3</v>
      </c>
      <c r="B5" t="s">
        <v>141</v>
      </c>
      <c r="C5" t="str">
        <f>IFERROR(VLOOKUP(B5,[1]list!$A:$B,2,FALSE),"")</f>
        <v>アンクレールプティ</v>
      </c>
      <c r="D5" t="str">
        <f>IFERROR(VLOOKUP(B5,[1]list!$A:$F,6,FALSE),"")</f>
        <v>オランダのデザイナーが展開するブランド「ANNE-CLAIR PETIT（アンクレール・プチ）」。独特なカラフルなカラーバリエーションや素朴の中にもトレンドが感じられるデザイン、そして手作りならではの優しい風合いが人気を集めています。</v>
      </c>
      <c r="E5" t="str">
        <f>ref!$B$4&amp;ref!$B$5&amp;IFERROR(VLOOKUP(B5,[1]list!$A:$D,4,FALSE),"")</f>
        <v>/fs/lilietnene/c/anneclairepetit</v>
      </c>
      <c r="F5" s="1" t="str">
        <f>IFERROR(VLOOKUP(B5,[1]list!$A:$E,5,FALSE),"")</f>
        <v>anneclairpetit</v>
      </c>
      <c r="G5" t="str">
        <f t="shared" si="0"/>
        <v>ANNE-CLAIRE PETIT アンクレールプティ</v>
      </c>
      <c r="H5" t="str">
        <f>SUBSTITUTE(IFERROR(VLOOKUP(B5,[1]list!$A:$U,21,FALSE),""),"0","")</f>
        <v>玩具</v>
      </c>
      <c r="I5" t="str">
        <f>LOWER(TRIM(IFERROR(VLOOKUP(B5,[1]list!$A:$R,15,FALSE)&amp;" ","")&amp;IFERROR(VLOOKUP(B5,[1]list!$A:$R,16,FALSE)&amp;" ","")&amp;IFERROR(VLOOKUP(B5,[1]list!$A:$R,18,FALSE)&amp;" ","")&amp;IFERROR(VLOOKUP(B5,[1]list!$A:$S,19,FALSE)&amp;" ","")&amp;IFERROR(VLOOKUP(B5,[1]list!$A:$T,20,FALSE)&amp;" ","")))</f>
        <v>goods toy</v>
      </c>
      <c r="J5" t="str">
        <f>SUBSTITUTE(IFERROR(VLOOKUP(B5,[1]list!$A:$R,15,FALSE)&amp;" ","")," ","")</f>
        <v/>
      </c>
      <c r="K5" t="str">
        <f>SUBSTITUTE(IFERROR(VLOOKUP(B5,[1]list!$A:$R,16,FALSE)&amp;" ","")," ","")</f>
        <v/>
      </c>
      <c r="L5" t="str">
        <f>SUBSTITUTE(IFERROR(VLOOKUP(B5,[1]list!$A:$R,18,FALSE)&amp;" ","")," ","")</f>
        <v/>
      </c>
      <c r="M5" t="str">
        <f t="shared" si="1"/>
        <v>A</v>
      </c>
    </row>
    <row r="6" spans="1:13">
      <c r="A6">
        <v>4</v>
      </c>
      <c r="B6" t="s">
        <v>150</v>
      </c>
      <c r="C6" t="str">
        <f>IFERROR(VLOOKUP(B6,[1]list!$A:$B,2,FALSE),"")</f>
        <v>アポリーヌ</v>
      </c>
      <c r="D6" t="str">
        <f>IFERROR(VLOOKUP(B6,[1]list!$A:$F,6,FALSE),"")</f>
        <v>パリで人気のアーティスト、アポリーヌ・マルカ。彼女が作り出す作品はすべて手作りで、１つ１つ個性的でファンタジックな世界観溢れるものばかりです。</v>
      </c>
      <c r="E6" t="str">
        <f>ref!$B$4&amp;ref!$B$5&amp;IFERROR(VLOOKUP(B6,[1]list!$A:$D,4,FALSE),"")</f>
        <v>/fs/lilietnene/c/apolline</v>
      </c>
      <c r="F6" s="1" t="str">
        <f>IFERROR(VLOOKUP(B6,[1]list!$A:$E,5,FALSE),"")</f>
        <v>apolline</v>
      </c>
      <c r="G6" t="str">
        <f t="shared" si="0"/>
        <v>APOLLINE アポリーヌ</v>
      </c>
      <c r="H6" t="str">
        <f>SUBSTITUTE(IFERROR(VLOOKUP(B6,[1]list!$A:$U,21,FALSE),""),"0","")</f>
        <v>アート・オブジェ</v>
      </c>
      <c r="I6" t="str">
        <f>LOWER(TRIM(IFERROR(VLOOKUP(B6,[1]list!$A:$R,15,FALSE)&amp;" ","")&amp;IFERROR(VLOOKUP(B6,[1]list!$A:$R,16,FALSE)&amp;" ","")&amp;IFERROR(VLOOKUP(B6,[1]list!$A:$R,18,FALSE)&amp;" ","")&amp;IFERROR(VLOOKUP(B6,[1]list!$A:$S,19,FALSE)&amp;" ","")&amp;IFERROR(VLOOKUP(B6,[1]list!$A:$T,20,FALSE)&amp;" ","")))</f>
        <v>goods</v>
      </c>
      <c r="J6" t="str">
        <f>SUBSTITUTE(IFERROR(VLOOKUP(B6,[1]list!$A:$R,15,FALSE)&amp;" ","")," ","")</f>
        <v/>
      </c>
      <c r="K6" t="str">
        <f>SUBSTITUTE(IFERROR(VLOOKUP(B6,[1]list!$A:$R,16,FALSE)&amp;" ","")," ","")</f>
        <v/>
      </c>
      <c r="L6" t="str">
        <f>SUBSTITUTE(IFERROR(VLOOKUP(B6,[1]list!$A:$R,18,FALSE)&amp;" ","")," ","")</f>
        <v/>
      </c>
      <c r="M6" t="str">
        <f t="shared" si="1"/>
        <v>A</v>
      </c>
    </row>
    <row r="7" spans="1:13">
      <c r="A7">
        <v>5</v>
      </c>
      <c r="B7" t="s">
        <v>52</v>
      </c>
      <c r="C7" t="str">
        <f>IFERROR(VLOOKUP(B7,[1]list!$A:$B,2,FALSE),"")</f>
        <v>ベイブアンドテス</v>
      </c>
      <c r="D7" t="str">
        <f>IFERROR(VLOOKUP(B7,[1]list!$A:$F,6,FALSE),"")</f>
        <v>コットンやリネンを中心に、子どもたちにとって着心地がよく動きやすいアイテムが人気の、イタリアのベビー・キッズブランド「BABE&amp;TESS（ベイブアンドテス）」。イタリア製にこだわり、ちょっと甘さをプラスしたスタイリッシュで洗練されたコレクションを展開しています。</v>
      </c>
      <c r="E7" t="str">
        <f>ref!$B$4&amp;ref!$B$5&amp;IFERROR(VLOOKUP(B7,[1]list!$A:$D,4,FALSE),"")</f>
        <v>/fs/lilietnene/c/babeandtess</v>
      </c>
      <c r="F7" s="1" t="str">
        <f>IFERROR(VLOOKUP(B7,[1]list!$A:$E,5,FALSE),"")</f>
        <v>babeandtess</v>
      </c>
      <c r="G7" t="str">
        <f t="shared" si="0"/>
        <v>BABE&amp;TESS ベイブアンドテス</v>
      </c>
      <c r="H7" t="str">
        <f>SUBSTITUTE(IFERROR(VLOOKUP(B7,[1]list!$A:$U,21,FALSE),""),"0","")</f>
        <v>ウエア</v>
      </c>
      <c r="I7" t="str">
        <f>LOWER(TRIM(IFERROR(VLOOKUP(B7,[1]list!$A:$R,15,FALSE)&amp;" ","")&amp;IFERROR(VLOOKUP(B7,[1]list!$A:$R,16,FALSE)&amp;" ","")&amp;IFERROR(VLOOKUP(B7,[1]list!$A:$R,18,FALSE)&amp;" ","")&amp;IFERROR(VLOOKUP(B7,[1]list!$A:$S,19,FALSE)&amp;" ","")&amp;IFERROR(VLOOKUP(B7,[1]list!$A:$T,20,FALSE)&amp;" ","")))</f>
        <v>baby kids</v>
      </c>
      <c r="J7" t="str">
        <f>SUBSTITUTE(IFERROR(VLOOKUP(B7,[1]list!$A:$R,15,FALSE)&amp;" ","")," ","")</f>
        <v>BABY</v>
      </c>
      <c r="K7" t="str">
        <f>SUBSTITUTE(IFERROR(VLOOKUP(B7,[1]list!$A:$R,16,FALSE)&amp;" ","")," ","")</f>
        <v>KIDS</v>
      </c>
      <c r="L7" t="str">
        <f>SUBSTITUTE(IFERROR(VLOOKUP(B7,[1]list!$A:$R,18,FALSE)&amp;" ","")," ","")</f>
        <v/>
      </c>
      <c r="M7" t="str">
        <f t="shared" si="1"/>
        <v>B</v>
      </c>
    </row>
    <row r="8" spans="1:13">
      <c r="A8">
        <v>6</v>
      </c>
      <c r="B8" t="s">
        <v>83</v>
      </c>
      <c r="C8" t="str">
        <f>IFERROR(VLOOKUP(B8,[1]list!$A:$B,2,FALSE),"")</f>
        <v>ボーモントオーガニック</v>
      </c>
      <c r="D8" t="str">
        <f>IFERROR(VLOOKUP(B8,[1]list!$A:$F,6,FALSE),"")</f>
        <v>「BEAUMONT ORGANIC（ボーモント オーガニック）」は、イギリス人のハンナ・ニコルにより8枚の100％オーガニック コットン ジャージで作られた美しい2008SSコレクションから始まりました。</v>
      </c>
      <c r="E8" t="str">
        <f>ref!$B$4&amp;ref!$B$5&amp;IFERROR(VLOOKUP(B8,[1]list!$A:$D,4,FALSE),"")</f>
        <v>/fs/lilietnene/c/beaumont-o</v>
      </c>
      <c r="F8" s="1" t="str">
        <f>IFERROR(VLOOKUP(B8,[1]list!$A:$E,5,FALSE),"")</f>
        <v>beaumont-o</v>
      </c>
      <c r="G8" t="str">
        <f t="shared" si="0"/>
        <v>BEAUMONT ORGANIC ボーモントオーガニック</v>
      </c>
      <c r="H8" t="str">
        <f>SUBSTITUTE(IFERROR(VLOOKUP(B8,[1]list!$A:$U,21,FALSE),""),"0","")</f>
        <v>ウエア</v>
      </c>
      <c r="I8" t="str">
        <f>LOWER(TRIM(IFERROR(VLOOKUP(B8,[1]list!$A:$R,15,FALSE)&amp;" ","")&amp;IFERROR(VLOOKUP(B8,[1]list!$A:$R,16,FALSE)&amp;" ","")&amp;IFERROR(VLOOKUP(B8,[1]list!$A:$R,18,FALSE)&amp;" ","")&amp;IFERROR(VLOOKUP(B8,[1]list!$A:$S,19,FALSE)&amp;" ","")&amp;IFERROR(VLOOKUP(B8,[1]list!$A:$T,20,FALSE)&amp;" ","")))</f>
        <v>woman</v>
      </c>
      <c r="J8" t="str">
        <f>SUBSTITUTE(IFERROR(VLOOKUP(B8,[1]list!$A:$R,15,FALSE)&amp;" ","")," ","")</f>
        <v/>
      </c>
      <c r="K8" t="str">
        <f>SUBSTITUTE(IFERROR(VLOOKUP(B8,[1]list!$A:$R,16,FALSE)&amp;" ","")," ","")</f>
        <v/>
      </c>
      <c r="L8" t="str">
        <f>SUBSTITUTE(IFERROR(VLOOKUP(B8,[1]list!$A:$R,18,FALSE)&amp;" ","")," ","")</f>
        <v>WOMAN</v>
      </c>
      <c r="M8" t="str">
        <f t="shared" si="1"/>
        <v>B</v>
      </c>
    </row>
    <row r="9" spans="1:13">
      <c r="A9">
        <v>7</v>
      </c>
      <c r="B9" t="s">
        <v>68</v>
      </c>
      <c r="C9" t="str">
        <f>IFERROR(VLOOKUP(B9,[1]list!$A:$B,2,FALSE),"")</f>
        <v>ベルローズ</v>
      </c>
      <c r="D9" t="str">
        <f>IFERROR(VLOOKUP(B9,[1]list!$A:$F,6,FALSE),"")</f>
        <v>ベルギーブランドの「BELLEROSE（ベルローズ）」は1989年に誕生。ビンテージの服やワークウェアからインスピレーションを受けた機能美や時代に流されないコレクションを発表。キッズもレディースもカジュアルを得意としたブランドです。</v>
      </c>
      <c r="E9" t="str">
        <f>ref!$B$4&amp;ref!$B$5&amp;IFERROR(VLOOKUP(B9,[1]list!$A:$D,4,FALSE),"")</f>
        <v>/fs/lilietnene/c/bellerose</v>
      </c>
      <c r="F9" s="1" t="str">
        <f>IFERROR(VLOOKUP(B9,[1]list!$A:$E,5,FALSE),"")</f>
        <v>bellerose</v>
      </c>
      <c r="G9" t="str">
        <f t="shared" si="0"/>
        <v>BELLEROSE ベルローズ</v>
      </c>
      <c r="H9" t="str">
        <f>SUBSTITUTE(IFERROR(VLOOKUP(B9,[1]list!$A:$U,21,FALSE),""),"0","")</f>
        <v>ウエア</v>
      </c>
      <c r="I9" t="str">
        <f>LOWER(TRIM(IFERROR(VLOOKUP(B9,[1]list!$A:$R,15,FALSE)&amp;" ","")&amp;IFERROR(VLOOKUP(B9,[1]list!$A:$R,16,FALSE)&amp;" ","")&amp;IFERROR(VLOOKUP(B9,[1]list!$A:$R,18,FALSE)&amp;" ","")&amp;IFERROR(VLOOKUP(B9,[1]list!$A:$S,19,FALSE)&amp;" ","")&amp;IFERROR(VLOOKUP(B9,[1]list!$A:$T,20,FALSE)&amp;" ","")))</f>
        <v>kids</v>
      </c>
      <c r="J9" t="str">
        <f>SUBSTITUTE(IFERROR(VLOOKUP(B9,[1]list!$A:$R,15,FALSE)&amp;" ","")," ","")</f>
        <v/>
      </c>
      <c r="K9" t="str">
        <f>SUBSTITUTE(IFERROR(VLOOKUP(B9,[1]list!$A:$R,16,FALSE)&amp;" ","")," ","")</f>
        <v>KIDS</v>
      </c>
      <c r="L9" t="str">
        <f>SUBSTITUTE(IFERROR(VLOOKUP(B9,[1]list!$A:$R,18,FALSE)&amp;" ","")," ","")</f>
        <v/>
      </c>
      <c r="M9" t="str">
        <f t="shared" si="1"/>
        <v>B</v>
      </c>
    </row>
    <row r="10" spans="1:13">
      <c r="A10">
        <v>8</v>
      </c>
      <c r="B10" t="s">
        <v>69</v>
      </c>
      <c r="C10" t="str">
        <f>IFERROR(VLOOKUP(B10,[1]list!$A:$B,2,FALSE),"")</f>
        <v>ベンシモン</v>
      </c>
      <c r="D10" t="str">
        <f>IFERROR(VLOOKUP(B10,[1]list!$A:$F,6,FALSE),"")</f>
        <v>パリ生まれのスニーカーブランド「BENSIMON（ベンシモン）」。25年も前から変らぬ形でパリジェンヌから愛されているスニーカーはナチュラルな風合いと素敵なカラーバリエーションが魅力で、多くの有名セレクトショップでも扱われています。</v>
      </c>
      <c r="E10" t="str">
        <f>ref!$B$4&amp;ref!$B$5&amp;IFERROR(VLOOKUP(B10,[1]list!$A:$D,4,FALSE),"")</f>
        <v>/fs/lilietnene/c/bensimon</v>
      </c>
      <c r="F10" s="1" t="str">
        <f>IFERROR(VLOOKUP(B10,[1]list!$A:$E,5,FALSE),"")</f>
        <v>bensimon</v>
      </c>
      <c r="G10" t="str">
        <f t="shared" si="0"/>
        <v>BENSIMON ベンシモン</v>
      </c>
      <c r="H10" t="str">
        <f>SUBSTITUTE(IFERROR(VLOOKUP(B10,[1]list!$A:$U,21,FALSE),""),"0","")</f>
        <v>シューズ</v>
      </c>
      <c r="I10" t="str">
        <f>LOWER(TRIM(IFERROR(VLOOKUP(B10,[1]list!$A:$R,15,FALSE)&amp;" ","")&amp;IFERROR(VLOOKUP(B10,[1]list!$A:$R,16,FALSE)&amp;" ","")&amp;IFERROR(VLOOKUP(B10,[1]list!$A:$R,18,FALSE)&amp;" ","")&amp;IFERROR(VLOOKUP(B10,[1]list!$A:$S,19,FALSE)&amp;" ","")&amp;IFERROR(VLOOKUP(B10,[1]list!$A:$T,20,FALSE)&amp;" ","")))</f>
        <v>kids woman</v>
      </c>
      <c r="J10" t="str">
        <f>SUBSTITUTE(IFERROR(VLOOKUP(B10,[1]list!$A:$R,15,FALSE)&amp;" ","")," ","")</f>
        <v/>
      </c>
      <c r="K10" t="str">
        <f>SUBSTITUTE(IFERROR(VLOOKUP(B10,[1]list!$A:$R,16,FALSE)&amp;" ","")," ","")</f>
        <v>KIDS</v>
      </c>
      <c r="L10" t="str">
        <f>SUBSTITUTE(IFERROR(VLOOKUP(B10,[1]list!$A:$R,18,FALSE)&amp;" ","")," ","")</f>
        <v>WOMAN</v>
      </c>
      <c r="M10" t="str">
        <f t="shared" si="1"/>
        <v>B</v>
      </c>
    </row>
    <row r="11" spans="1:13">
      <c r="A11">
        <v>9</v>
      </c>
      <c r="B11" t="s">
        <v>70</v>
      </c>
      <c r="C11" t="str">
        <f>IFERROR(VLOOKUP(B11,[1]list!$A:$B,2,FALSE),"")</f>
        <v>ビルケンシュトック</v>
      </c>
      <c r="D11" t="str">
        <f>IFERROR(VLOOKUP(B11,[1]list!$A:$F,6,FALSE),"")</f>
        <v>マイスターの国ドイツで生産されているブランド「BIRKENSTOCK（ビルケンシュトック）」。「第２の心臓」といわれる足に快適さをもたらす靴は200年以上にわたり、人々の健康をサポートしてくれ、今や世界中で愛用者から高い支持を得ています。</v>
      </c>
      <c r="E11" t="str">
        <f>ref!$B$4&amp;ref!$B$5&amp;IFERROR(VLOOKUP(B11,[1]list!$A:$D,4,FALSE),"")</f>
        <v>/fs/lilietnene/c/birkenstock</v>
      </c>
      <c r="F11" s="1" t="str">
        <f>IFERROR(VLOOKUP(B11,[1]list!$A:$E,5,FALSE),"")</f>
        <v>birkenstock</v>
      </c>
      <c r="G11" t="str">
        <f t="shared" si="0"/>
        <v>BIRKENSTOCK ビルケンシュトック</v>
      </c>
      <c r="H11" t="str">
        <f>SUBSTITUTE(IFERROR(VLOOKUP(B11,[1]list!$A:$U,21,FALSE),""),"0","")</f>
        <v>シューズ</v>
      </c>
      <c r="I11" t="str">
        <f>LOWER(TRIM(IFERROR(VLOOKUP(B11,[1]list!$A:$R,15,FALSE)&amp;" ","")&amp;IFERROR(VLOOKUP(B11,[1]list!$A:$R,16,FALSE)&amp;" ","")&amp;IFERROR(VLOOKUP(B11,[1]list!$A:$R,18,FALSE)&amp;" ","")&amp;IFERROR(VLOOKUP(B11,[1]list!$A:$S,19,FALSE)&amp;" ","")&amp;IFERROR(VLOOKUP(B11,[1]list!$A:$T,20,FALSE)&amp;" ","")))</f>
        <v>kids woman</v>
      </c>
      <c r="J11" t="str">
        <f>SUBSTITUTE(IFERROR(VLOOKUP(B11,[1]list!$A:$R,15,FALSE)&amp;" ","")," ","")</f>
        <v/>
      </c>
      <c r="K11" t="str">
        <f>SUBSTITUTE(IFERROR(VLOOKUP(B11,[1]list!$A:$R,16,FALSE)&amp;" ","")," ","")</f>
        <v>KIDS</v>
      </c>
      <c r="L11" t="str">
        <f>SUBSTITUTE(IFERROR(VLOOKUP(B11,[1]list!$A:$R,18,FALSE)&amp;" ","")," ","")</f>
        <v>WOMAN</v>
      </c>
      <c r="M11" t="str">
        <f t="shared" si="1"/>
        <v>B</v>
      </c>
    </row>
    <row r="12" spans="1:13">
      <c r="A12">
        <v>10</v>
      </c>
      <c r="B12" t="s">
        <v>509</v>
      </c>
      <c r="C12" t="str">
        <f>IFERROR(VLOOKUP(B12,[1]list!$A:$B,2,FALSE),"")</f>
        <v>ビオブ バイ エコボ</v>
      </c>
      <c r="D12" t="str">
        <f>IFERROR(VLOOKUP(B12,[1]list!$A:$F,6,FALSE),"")</f>
        <v>EKOBO（エコボ）は、再生可能である天然素材、竹を使いデザインから製造の過程までをエコフレンドリーであることをコンセプトにしたホームアクセサリーや雑貨のブランド。モダンデザインと、職人の技を融合させ、ローカルからコミュニティーづくりに役立てている。</v>
      </c>
      <c r="E12" t="str">
        <f>ref!$B$4&amp;ref!$B$5&amp;IFERROR(VLOOKUP(B12,[1]list!$A:$D,4,FALSE),"")</f>
        <v>/fs/lilietnene/c/biobubyekobo</v>
      </c>
      <c r="F12" s="1" t="str">
        <f>IFERROR(VLOOKUP(B12,[1]list!$A:$E,5,FALSE),"")</f>
        <v>biobubyekobo</v>
      </c>
      <c r="G12" t="str">
        <f t="shared" si="0"/>
        <v>BIOBU BY EKOBO ビオブ バイ エコボ</v>
      </c>
      <c r="H12" t="str">
        <f>SUBSTITUTE(IFERROR(VLOOKUP(B12,[1]list!$A:$U,21,FALSE),""),"0","")</f>
        <v>キッチン雑貨</v>
      </c>
      <c r="I12" t="str">
        <f>LOWER(TRIM(IFERROR(VLOOKUP(B12,[1]list!$A:$R,15,FALSE)&amp;" ","")&amp;IFERROR(VLOOKUP(B12,[1]list!$A:$R,16,FALSE)&amp;" ","")&amp;IFERROR(VLOOKUP(B12,[1]list!$A:$R,18,FALSE)&amp;" ","")&amp;IFERROR(VLOOKUP(B12,[1]list!$A:$S,19,FALSE)&amp;" ","")&amp;IFERROR(VLOOKUP(B12,[1]list!$A:$T,20,FALSE)&amp;" ","")))</f>
        <v>goods</v>
      </c>
      <c r="J12" t="str">
        <f>SUBSTITUTE(IFERROR(VLOOKUP(B12,[1]list!$A:$R,15,FALSE)&amp;" ","")," ","")</f>
        <v/>
      </c>
      <c r="K12" t="str">
        <f>SUBSTITUTE(IFERROR(VLOOKUP(B12,[1]list!$A:$R,16,FALSE)&amp;" ","")," ","")</f>
        <v/>
      </c>
      <c r="L12" t="str">
        <f>SUBSTITUTE(IFERROR(VLOOKUP(B12,[1]list!$A:$R,18,FALSE)&amp;" ","")," ","")</f>
        <v/>
      </c>
      <c r="M12" t="str">
        <f t="shared" si="1"/>
        <v>B</v>
      </c>
    </row>
    <row r="13" spans="1:13">
      <c r="A13">
        <v>11</v>
      </c>
      <c r="B13" t="s">
        <v>53</v>
      </c>
      <c r="C13" t="str">
        <f>IFERROR(VLOOKUP(B13,[1]list!$A:$B,2,FALSE),"")</f>
        <v>ボンポワン</v>
      </c>
      <c r="D13" t="str">
        <f>IFERROR(VLOOKUP(B13,[1]list!$A:$F,6,FALSE),"")</f>
        <v>フランスのパリを拠点に、ヨーロッパ、世界中のセレブから愛されている老舗子供服ブランド『BONPOINT（ボンポワン）』。高品質の素材とシンプルな中にもディテールまでこだわった作りが人気を集めています。</v>
      </c>
      <c r="E13" t="str">
        <f>ref!$B$4&amp;ref!$B$5&amp;IFERROR(VLOOKUP(B13,[1]list!$A:$D,4,FALSE),"")</f>
        <v>/fs/lilietnene/c/bonpoint</v>
      </c>
      <c r="F13" s="1" t="str">
        <f>IFERROR(VLOOKUP(B13,[1]list!$A:$E,5,FALSE),"")</f>
        <v>bonpoint</v>
      </c>
      <c r="G13" t="str">
        <f t="shared" si="0"/>
        <v>BONPOINT ボンポワン</v>
      </c>
      <c r="H13" t="str">
        <f>SUBSTITUTE(IFERROR(VLOOKUP(B13,[1]list!$A:$U,21,FALSE),""),"0","")</f>
        <v>ウエア</v>
      </c>
      <c r="I13" t="str">
        <f>LOWER(TRIM(IFERROR(VLOOKUP(B13,[1]list!$A:$R,15,FALSE)&amp;" ","")&amp;IFERROR(VLOOKUP(B13,[1]list!$A:$R,16,FALSE)&amp;" ","")&amp;IFERROR(VLOOKUP(B13,[1]list!$A:$R,18,FALSE)&amp;" ","")&amp;IFERROR(VLOOKUP(B13,[1]list!$A:$S,19,FALSE)&amp;" ","")&amp;IFERROR(VLOOKUP(B13,[1]list!$A:$T,20,FALSE)&amp;" ","")))</f>
        <v>baby kids woman</v>
      </c>
      <c r="J13" t="str">
        <f>SUBSTITUTE(IFERROR(VLOOKUP(B13,[1]list!$A:$R,15,FALSE)&amp;" ","")," ","")</f>
        <v>BABY</v>
      </c>
      <c r="K13" t="str">
        <f>SUBSTITUTE(IFERROR(VLOOKUP(B13,[1]list!$A:$R,16,FALSE)&amp;" ","")," ","")</f>
        <v>KIDS</v>
      </c>
      <c r="L13" t="str">
        <f>SUBSTITUTE(IFERROR(VLOOKUP(B13,[1]list!$A:$R,18,FALSE)&amp;" ","")," ","")</f>
        <v>WOMAN</v>
      </c>
      <c r="M13" t="str">
        <f t="shared" si="1"/>
        <v>B</v>
      </c>
    </row>
    <row r="14" spans="1:13">
      <c r="A14">
        <v>12</v>
      </c>
      <c r="B14" t="s">
        <v>54</v>
      </c>
      <c r="C14" t="str">
        <f>IFERROR(VLOOKUP(B14,[1]list!$A:$B,2,FALSE),"")</f>
        <v>ボントン</v>
      </c>
      <c r="D14" t="str">
        <f>IFERROR(VLOOKUP(B14,[1]list!$A:$F,6,FALSE),"")</f>
        <v>パリで１番話題の子供ブティック『BONTON（ボントン）』。同じパリで有名なボンポワンのご子息が立ち上げたブランドで、ボンポワンよりカジュアルな雰囲気の子供服が人気。</v>
      </c>
      <c r="E14" t="str">
        <f>ref!$B$4&amp;ref!$B$5&amp;IFERROR(VLOOKUP(B14,[1]list!$A:$D,4,FALSE),"")</f>
        <v>/fs/lilietnene/c/bonton</v>
      </c>
      <c r="F14" s="1" t="str">
        <f>IFERROR(VLOOKUP(B14,[1]list!$A:$E,5,FALSE),"")</f>
        <v>bonton</v>
      </c>
      <c r="G14" t="str">
        <f t="shared" si="0"/>
        <v>BONTON ボントン</v>
      </c>
      <c r="H14" t="str">
        <f>SUBSTITUTE(IFERROR(VLOOKUP(B14,[1]list!$A:$U,21,FALSE),""),"0","")</f>
        <v>ウエア</v>
      </c>
      <c r="I14" t="str">
        <f>LOWER(TRIM(IFERROR(VLOOKUP(B14,[1]list!$A:$R,15,FALSE)&amp;" ","")&amp;IFERROR(VLOOKUP(B14,[1]list!$A:$R,16,FALSE)&amp;" ","")&amp;IFERROR(VLOOKUP(B14,[1]list!$A:$R,18,FALSE)&amp;" ","")&amp;IFERROR(VLOOKUP(B14,[1]list!$A:$S,19,FALSE)&amp;" ","")&amp;IFERROR(VLOOKUP(B14,[1]list!$A:$T,20,FALSE)&amp;" ","")))</f>
        <v>baby kids</v>
      </c>
      <c r="J14" t="str">
        <f>SUBSTITUTE(IFERROR(VLOOKUP(B14,[1]list!$A:$R,15,FALSE)&amp;" ","")," ","")</f>
        <v>BABY</v>
      </c>
      <c r="K14" t="str">
        <f>SUBSTITUTE(IFERROR(VLOOKUP(B14,[1]list!$A:$R,16,FALSE)&amp;" ","")," ","")</f>
        <v>KIDS</v>
      </c>
      <c r="L14" t="str">
        <f>SUBSTITUTE(IFERROR(VLOOKUP(B14,[1]list!$A:$R,18,FALSE)&amp;" ","")," ","")</f>
        <v/>
      </c>
      <c r="M14" t="str">
        <f t="shared" si="1"/>
        <v>B</v>
      </c>
    </row>
    <row r="15" spans="1:13">
      <c r="A15">
        <v>13</v>
      </c>
      <c r="B15" t="s">
        <v>55</v>
      </c>
      <c r="C15" t="str">
        <f>IFERROR(VLOOKUP(B15,[1]list!$A:$B,2,FALSE),"")</f>
        <v>キャラメル</v>
      </c>
      <c r="D15" t="str">
        <f>IFERROR(VLOOKUP(B15,[1]list!$A:$F,6,FALSE),"")</f>
        <v>子どもたちが気持ちよく着られるものをコンセプトに、クラシカルな中にもどこか新鮮でスタイリッシュなイメージをとり入れた個性的なコレクションを展開する、ロンドンのブランド『CARAMEL（キャラメル）』。</v>
      </c>
      <c r="E15" t="str">
        <f>ref!$B$4&amp;ref!$B$5&amp;IFERROR(VLOOKUP(B15,[1]list!$A:$D,4,FALSE),"")</f>
        <v>/fs/lilietnene/c/caramel</v>
      </c>
      <c r="F15" s="1" t="str">
        <f>IFERROR(VLOOKUP(B15,[1]list!$A:$E,5,FALSE),"")</f>
        <v>caramel</v>
      </c>
      <c r="G15" t="str">
        <f t="shared" si="0"/>
        <v>CARAMEL キャラメル</v>
      </c>
      <c r="H15" t="str">
        <f>SUBSTITUTE(IFERROR(VLOOKUP(B15,[1]list!$A:$U,21,FALSE),""),"0","")</f>
        <v>ウエア</v>
      </c>
      <c r="I15" t="str">
        <f>LOWER(TRIM(IFERROR(VLOOKUP(B15,[1]list!$A:$R,15,FALSE)&amp;" ","")&amp;IFERROR(VLOOKUP(B15,[1]list!$A:$R,16,FALSE)&amp;" ","")&amp;IFERROR(VLOOKUP(B15,[1]list!$A:$R,18,FALSE)&amp;" ","")&amp;IFERROR(VLOOKUP(B15,[1]list!$A:$S,19,FALSE)&amp;" ","")&amp;IFERROR(VLOOKUP(B15,[1]list!$A:$T,20,FALSE)&amp;" ","")))</f>
        <v>baby kids</v>
      </c>
      <c r="J15" t="str">
        <f>SUBSTITUTE(IFERROR(VLOOKUP(B15,[1]list!$A:$R,15,FALSE)&amp;" ","")," ","")</f>
        <v>BABY</v>
      </c>
      <c r="K15" t="str">
        <f>SUBSTITUTE(IFERROR(VLOOKUP(B15,[1]list!$A:$R,16,FALSE)&amp;" ","")," ","")</f>
        <v>KIDS</v>
      </c>
      <c r="L15" t="str">
        <f>SUBSTITUTE(IFERROR(VLOOKUP(B15,[1]list!$A:$R,18,FALSE)&amp;" ","")," ","")</f>
        <v/>
      </c>
      <c r="M15" t="str">
        <f t="shared" si="1"/>
        <v>C</v>
      </c>
    </row>
    <row r="16" spans="1:13">
      <c r="A16">
        <v>14</v>
      </c>
      <c r="B16" t="s">
        <v>84</v>
      </c>
      <c r="C16" t="str">
        <f>IFERROR(VLOOKUP(B16,[1]list!$A:$B,2,FALSE),"")</f>
        <v>カスタニエール</v>
      </c>
      <c r="D16" t="str">
        <f>IFERROR(VLOOKUP(B16,[1]list!$A:$F,6,FALSE),"")</f>
        <v>スペイン発、エスパドリーユの老舗ブランド「CASTANER（カスタニェール）」。 1810年のブランド創設以来、ジュードソールとキャンバスアッパーのエスパドリーユが多くの人から親しまれています</v>
      </c>
      <c r="E16" t="str">
        <f>ref!$B$4&amp;ref!$B$5&amp;IFERROR(VLOOKUP(B16,[1]list!$A:$D,4,FALSE),"")</f>
        <v>/fs/lilietnene/c/castaner</v>
      </c>
      <c r="F16" s="1" t="str">
        <f>IFERROR(VLOOKUP(B16,[1]list!$A:$E,5,FALSE),"")</f>
        <v>castaner</v>
      </c>
      <c r="G16" t="str">
        <f t="shared" si="0"/>
        <v>CASTANER カスタニエール</v>
      </c>
      <c r="H16" t="str">
        <f>SUBSTITUTE(IFERROR(VLOOKUP(B16,[1]list!$A:$U,21,FALSE),""),"0","")</f>
        <v>シューズ</v>
      </c>
      <c r="I16" t="str">
        <f>LOWER(TRIM(IFERROR(VLOOKUP(B16,[1]list!$A:$R,15,FALSE)&amp;" ","")&amp;IFERROR(VLOOKUP(B16,[1]list!$A:$R,16,FALSE)&amp;" ","")&amp;IFERROR(VLOOKUP(B16,[1]list!$A:$R,18,FALSE)&amp;" ","")&amp;IFERROR(VLOOKUP(B16,[1]list!$A:$S,19,FALSE)&amp;" ","")&amp;IFERROR(VLOOKUP(B16,[1]list!$A:$T,20,FALSE)&amp;" ","")))</f>
        <v>woman</v>
      </c>
      <c r="J16" t="str">
        <f>SUBSTITUTE(IFERROR(VLOOKUP(B16,[1]list!$A:$R,15,FALSE)&amp;" ","")," ","")</f>
        <v/>
      </c>
      <c r="K16" t="str">
        <f>SUBSTITUTE(IFERROR(VLOOKUP(B16,[1]list!$A:$R,16,FALSE)&amp;" ","")," ","")</f>
        <v/>
      </c>
      <c r="L16" t="str">
        <f>SUBSTITUTE(IFERROR(VLOOKUP(B16,[1]list!$A:$R,18,FALSE)&amp;" ","")," ","")</f>
        <v>WOMAN</v>
      </c>
      <c r="M16" t="str">
        <f t="shared" si="1"/>
        <v>C</v>
      </c>
    </row>
    <row r="17" spans="1:13">
      <c r="A17">
        <v>15</v>
      </c>
      <c r="B17" t="s">
        <v>85</v>
      </c>
      <c r="C17" t="str">
        <f>IFERROR(VLOOKUP(B17,[1]list!$A:$B,2,FALSE),"")</f>
        <v>セシルボッカラ</v>
      </c>
      <c r="D17" t="str">
        <f>IFERROR(VLOOKUP(B17,[1]list!$A:$F,6,FALSE),"")</f>
        <v>パリにアトリエを構え、世界中へコレクションを発表しているアクセサリーブランド「CECILE BOCCARA（セシルボッカラ）」。繊細かつ上品なデザインと美しい色使いで個性溢れるアイテムが特徴的です。</v>
      </c>
      <c r="E17" t="str">
        <f>ref!$B$4&amp;ref!$B$5&amp;IFERROR(VLOOKUP(B17,[1]list!$A:$D,4,FALSE),"")</f>
        <v>/fs/lilietnene/c/cecileboccara</v>
      </c>
      <c r="F17" s="1" t="str">
        <f>IFERROR(VLOOKUP(B17,[1]list!$A:$E,5,FALSE),"")</f>
        <v>cecileboccara</v>
      </c>
      <c r="G17" t="str">
        <f t="shared" si="0"/>
        <v>CECILE BOCCARA セシルボッカラ</v>
      </c>
      <c r="H17" t="str">
        <f>SUBSTITUTE(IFERROR(VLOOKUP(B17,[1]list!$A:$U,21,FALSE),""),"0","")</f>
        <v>アクセサリー</v>
      </c>
      <c r="I17" t="str">
        <f>LOWER(TRIM(IFERROR(VLOOKUP(B17,[1]list!$A:$R,15,FALSE)&amp;" ","")&amp;IFERROR(VLOOKUP(B17,[1]list!$A:$R,16,FALSE)&amp;" ","")&amp;IFERROR(VLOOKUP(B17,[1]list!$A:$R,18,FALSE)&amp;" ","")&amp;IFERROR(VLOOKUP(B17,[1]list!$A:$S,19,FALSE)&amp;" ","")&amp;IFERROR(VLOOKUP(B17,[1]list!$A:$T,20,FALSE)&amp;" ","")))</f>
        <v>woman</v>
      </c>
      <c r="J17" t="str">
        <f>SUBSTITUTE(IFERROR(VLOOKUP(B17,[1]list!$A:$R,15,FALSE)&amp;" ","")," ","")</f>
        <v/>
      </c>
      <c r="K17" t="str">
        <f>SUBSTITUTE(IFERROR(VLOOKUP(B17,[1]list!$A:$R,16,FALSE)&amp;" ","")," ","")</f>
        <v/>
      </c>
      <c r="L17" t="str">
        <f>SUBSTITUTE(IFERROR(VLOOKUP(B17,[1]list!$A:$R,18,FALSE)&amp;" ","")," ","")</f>
        <v>WOMAN</v>
      </c>
      <c r="M17" t="str">
        <f t="shared" si="1"/>
        <v>C</v>
      </c>
    </row>
    <row r="18" spans="1:13">
      <c r="A18">
        <v>16</v>
      </c>
      <c r="B18" t="s">
        <v>86</v>
      </c>
      <c r="C18" t="str">
        <f>IFERROR(VLOOKUP(B18,[1]list!$A:$B,2,FALSE),"")</f>
        <v>チャンルー</v>
      </c>
      <c r="D18" t="str">
        <f>IFERROR(VLOOKUP(B18,[1]list!$A:$F,6,FALSE),"")</f>
        <v>ベトナム出身の女性デザイナーChanLuuが、2004年に立ち上げたブランド。オリエンタルとアンティークの混ざり合う独特な雰囲気とデザインで、世界中にファンを広げる、今注目のブランドです。</v>
      </c>
      <c r="E18" t="str">
        <f>ref!$B$4&amp;ref!$B$5&amp;IFERROR(VLOOKUP(B18,[1]list!$A:$D,4,FALSE),"")</f>
        <v>/fs/lilietnene/c/chanluu</v>
      </c>
      <c r="F18" s="1" t="str">
        <f>IFERROR(VLOOKUP(B18,[1]list!$A:$E,5,FALSE),"")</f>
        <v>chanluu</v>
      </c>
      <c r="G18" t="str">
        <f t="shared" si="0"/>
        <v>CHAN LUU チャンルー</v>
      </c>
      <c r="H18" t="str">
        <f>SUBSTITUTE(IFERROR(VLOOKUP(B18,[1]list!$A:$U,21,FALSE),""),"0","")</f>
        <v>アクセサリー</v>
      </c>
      <c r="I18" t="str">
        <f>LOWER(TRIM(IFERROR(VLOOKUP(B18,[1]list!$A:$R,15,FALSE)&amp;" ","")&amp;IFERROR(VLOOKUP(B18,[1]list!$A:$R,16,FALSE)&amp;" ","")&amp;IFERROR(VLOOKUP(B18,[1]list!$A:$R,18,FALSE)&amp;" ","")&amp;IFERROR(VLOOKUP(B18,[1]list!$A:$S,19,FALSE)&amp;" ","")&amp;IFERROR(VLOOKUP(B18,[1]list!$A:$T,20,FALSE)&amp;" ","")))</f>
        <v>woman</v>
      </c>
      <c r="J18" t="str">
        <f>SUBSTITUTE(IFERROR(VLOOKUP(B18,[1]list!$A:$R,15,FALSE)&amp;" ","")," ","")</f>
        <v/>
      </c>
      <c r="K18" t="str">
        <f>SUBSTITUTE(IFERROR(VLOOKUP(B18,[1]list!$A:$R,16,FALSE)&amp;" ","")," ","")</f>
        <v/>
      </c>
      <c r="L18" t="str">
        <f>SUBSTITUTE(IFERROR(VLOOKUP(B18,[1]list!$A:$R,18,FALSE)&amp;" ","")," ","")</f>
        <v>WOMAN</v>
      </c>
      <c r="M18" t="str">
        <f t="shared" si="1"/>
        <v>C</v>
      </c>
    </row>
    <row r="19" spans="1:13">
      <c r="A19">
        <v>17</v>
      </c>
      <c r="B19" t="s">
        <v>87</v>
      </c>
      <c r="C19" t="str">
        <f>IFERROR(VLOOKUP(B19,[1]list!$A:$B,2,FALSE),"")</f>
        <v>チャーリー</v>
      </c>
      <c r="D19" t="str">
        <f>IFERROR(VLOOKUP(B19,[1]list!$A:$F,6,FALSE),"")</f>
        <v>2008年にスタートしたロンドンのレディースブランド。ニットやカットソーを得意とし、伝統的かつ革新的な確かな技術と、ロンドンのエネルギッシュなファッションの感性をエッセンスに、リラックス感のあるシックで上質なコレクションを展開。</v>
      </c>
      <c r="E19" t="str">
        <f>ref!$B$4&amp;ref!$B$5&amp;IFERROR(VLOOKUP(B19,[1]list!$A:$D,4,FALSE),"")</f>
        <v>/fs/lilietnene/c/charli</v>
      </c>
      <c r="F19" s="1" t="str">
        <f>IFERROR(VLOOKUP(B19,[1]list!$A:$E,5,FALSE),"")</f>
        <v>charli</v>
      </c>
      <c r="G19" t="str">
        <f t="shared" si="0"/>
        <v>CHARLI チャーリー</v>
      </c>
      <c r="H19" t="str">
        <f>SUBSTITUTE(IFERROR(VLOOKUP(B19,[1]list!$A:$U,21,FALSE),""),"0","")</f>
        <v>ウエア</v>
      </c>
      <c r="I19" t="str">
        <f>LOWER(TRIM(IFERROR(VLOOKUP(B19,[1]list!$A:$R,15,FALSE)&amp;" ","")&amp;IFERROR(VLOOKUP(B19,[1]list!$A:$R,16,FALSE)&amp;" ","")&amp;IFERROR(VLOOKUP(B19,[1]list!$A:$R,18,FALSE)&amp;" ","")&amp;IFERROR(VLOOKUP(B19,[1]list!$A:$S,19,FALSE)&amp;" ","")&amp;IFERROR(VLOOKUP(B19,[1]list!$A:$T,20,FALSE)&amp;" ","")))</f>
        <v>woman</v>
      </c>
      <c r="J19" t="str">
        <f>SUBSTITUTE(IFERROR(VLOOKUP(B19,[1]list!$A:$R,15,FALSE)&amp;" ","")," ","")</f>
        <v/>
      </c>
      <c r="K19" t="str">
        <f>SUBSTITUTE(IFERROR(VLOOKUP(B19,[1]list!$A:$R,16,FALSE)&amp;" ","")," ","")</f>
        <v/>
      </c>
      <c r="L19" t="str">
        <f>SUBSTITUTE(IFERROR(VLOOKUP(B19,[1]list!$A:$R,18,FALSE)&amp;" ","")," ","")</f>
        <v>WOMAN</v>
      </c>
      <c r="M19" t="str">
        <f t="shared" si="1"/>
        <v>C</v>
      </c>
    </row>
    <row r="20" spans="1:13">
      <c r="A20">
        <v>18</v>
      </c>
      <c r="B20" t="s">
        <v>56</v>
      </c>
      <c r="C20" t="str">
        <f>IFERROR(VLOOKUP(B20,[1]list!$A:$B,2,FALSE),"")</f>
        <v>クリスティーナ・ローデ</v>
      </c>
      <c r="D20" t="str">
        <f>IFERROR(VLOOKUP(B20,[1]list!$A:$F,6,FALSE),"")</f>
        <v>デンマーク発の老舗子供服ブランド「CHRISTINA ROHDE（クリスティーナ・ローデ）」。リバティプリントやオリジナルの生地を使い、シンプルながらもディテールにこだわったデザインが特徴的。</v>
      </c>
      <c r="E20" t="str">
        <f>ref!$B$4&amp;ref!$B$5&amp;IFERROR(VLOOKUP(B20,[1]list!$A:$D,4,FALSE),"")</f>
        <v>/fs/lilietnene/c/christinarohde</v>
      </c>
      <c r="F20" s="1" t="str">
        <f>IFERROR(VLOOKUP(B20,[1]list!$A:$E,5,FALSE),"")</f>
        <v>christinarohde</v>
      </c>
      <c r="G20" t="str">
        <f t="shared" si="0"/>
        <v>CHRISTINA ROHDE クリスティーナ・ローデ</v>
      </c>
      <c r="H20" t="str">
        <f>SUBSTITUTE(IFERROR(VLOOKUP(B20,[1]list!$A:$U,21,FALSE),""),"0","")</f>
        <v>ウエア</v>
      </c>
      <c r="I20" t="str">
        <f>LOWER(TRIM(IFERROR(VLOOKUP(B20,[1]list!$A:$R,15,FALSE)&amp;" ","")&amp;IFERROR(VLOOKUP(B20,[1]list!$A:$R,16,FALSE)&amp;" ","")&amp;IFERROR(VLOOKUP(B20,[1]list!$A:$R,18,FALSE)&amp;" ","")&amp;IFERROR(VLOOKUP(B20,[1]list!$A:$S,19,FALSE)&amp;" ","")&amp;IFERROR(VLOOKUP(B20,[1]list!$A:$T,20,FALSE)&amp;" ","")))</f>
        <v>baby kids</v>
      </c>
      <c r="J20" t="str">
        <f>SUBSTITUTE(IFERROR(VLOOKUP(B20,[1]list!$A:$R,15,FALSE)&amp;" ","")," ","")</f>
        <v>BABY</v>
      </c>
      <c r="K20" t="str">
        <f>SUBSTITUTE(IFERROR(VLOOKUP(B20,[1]list!$A:$R,16,FALSE)&amp;" ","")," ","")</f>
        <v>KIDS</v>
      </c>
      <c r="L20" t="str">
        <f>SUBSTITUTE(IFERROR(VLOOKUP(B20,[1]list!$A:$R,18,FALSE)&amp;" ","")," ","")</f>
        <v/>
      </c>
      <c r="M20" t="str">
        <f t="shared" si="1"/>
        <v>C</v>
      </c>
    </row>
    <row r="21" spans="1:13">
      <c r="A21">
        <v>19</v>
      </c>
      <c r="B21" t="s">
        <v>57</v>
      </c>
      <c r="C21" t="str">
        <f>IFERROR(VLOOKUP(B21,[1]list!$A:$B,2,FALSE),"")</f>
        <v>クプリオ</v>
      </c>
      <c r="D21" t="str">
        <f>IFERROR(VLOOKUP(B21,[1]list!$A:$F,6,FALSE),"")</f>
        <v>鎌倉にあるベビーギフトと輸入雑貨のコンセプトショップ「COUPRIO」のオリジナルブランド。ナチュラル＆シンプルをテーマにフレンチシックなセレクトアイテムを揃えています。赤ちゃんにやさしいオーガニックコットンのアイテムは、ご出産祝いの贈り物としても人気です。</v>
      </c>
      <c r="E21" t="str">
        <f>ref!$B$4&amp;ref!$B$5&amp;IFERROR(VLOOKUP(B21,[1]list!$A:$D,4,FALSE),"")</f>
        <v>/fs/lilietnene/c/couprio</v>
      </c>
      <c r="F21" s="1" t="str">
        <f>IFERROR(VLOOKUP(B21,[1]list!$A:$E,5,FALSE),"")</f>
        <v>couprio</v>
      </c>
      <c r="G21" t="str">
        <f t="shared" si="0"/>
        <v>COUPRIO クプリオ</v>
      </c>
      <c r="H21" t="str">
        <f>SUBSTITUTE(IFERROR(VLOOKUP(B21,[1]list!$A:$U,21,FALSE),""),"0","")</f>
        <v>ベビーウエア・ギフト</v>
      </c>
      <c r="I21" t="str">
        <f>LOWER(TRIM(IFERROR(VLOOKUP(B21,[1]list!$A:$R,15,FALSE)&amp;" ","")&amp;IFERROR(VLOOKUP(B21,[1]list!$A:$R,16,FALSE)&amp;" ","")&amp;IFERROR(VLOOKUP(B21,[1]list!$A:$R,18,FALSE)&amp;" ","")&amp;IFERROR(VLOOKUP(B21,[1]list!$A:$S,19,FALSE)&amp;" ","")&amp;IFERROR(VLOOKUP(B21,[1]list!$A:$T,20,FALSE)&amp;" ","")))</f>
        <v>baby</v>
      </c>
      <c r="J21" t="str">
        <f>SUBSTITUTE(IFERROR(VLOOKUP(B21,[1]list!$A:$R,15,FALSE)&amp;" ","")," ","")</f>
        <v>BABY</v>
      </c>
      <c r="K21" t="str">
        <f>SUBSTITUTE(IFERROR(VLOOKUP(B21,[1]list!$A:$R,16,FALSE)&amp;" ","")," ","")</f>
        <v/>
      </c>
      <c r="L21" t="str">
        <f>SUBSTITUTE(IFERROR(VLOOKUP(B21,[1]list!$A:$R,18,FALSE)&amp;" ","")," ","")</f>
        <v/>
      </c>
      <c r="M21" t="str">
        <f t="shared" si="1"/>
        <v>C</v>
      </c>
    </row>
    <row r="22" spans="1:13">
      <c r="A22">
        <v>20</v>
      </c>
      <c r="B22" t="s">
        <v>152</v>
      </c>
      <c r="C22" t="str">
        <f>IFERROR(VLOOKUP(B22,[1]list!$A:$B,2,FALSE),"")</f>
        <v>コーラルアンドタスク</v>
      </c>
      <c r="D22" t="str">
        <f>IFERROR(VLOOKUP(B22,[1]list!$A:$F,6,FALSE),"")</f>
        <v>ニューヨーク、ブルックリン発のブランド、コーラル＆タスク。ユニークな刺繍を施したシックで遊び心あるデザインのグッズです。ベビーギフトから大人のギフトまで！</v>
      </c>
      <c r="E22" t="str">
        <f>ref!$B$4&amp;ref!$B$5&amp;IFERROR(VLOOKUP(B22,[1]list!$A:$D,4,FALSE),"")</f>
        <v>/fs/lilietnene/c/coraltusk</v>
      </c>
      <c r="F22" s="1" t="str">
        <f>IFERROR(VLOOKUP(B22,[1]list!$A:$E,5,FALSE),"")</f>
        <v>coraltusk</v>
      </c>
      <c r="G22" t="str">
        <f t="shared" si="0"/>
        <v>CORAL&amp;TUSK コーラルアンドタスク</v>
      </c>
      <c r="H22" t="str">
        <f>SUBSTITUTE(IFERROR(VLOOKUP(B22,[1]list!$A:$U,21,FALSE),""),"0","")</f>
        <v>アート・オブジェ</v>
      </c>
      <c r="I22" t="str">
        <f>LOWER(TRIM(IFERROR(VLOOKUP(B22,[1]list!$A:$R,15,FALSE)&amp;" ","")&amp;IFERROR(VLOOKUP(B22,[1]list!$A:$R,16,FALSE)&amp;" ","")&amp;IFERROR(VLOOKUP(B22,[1]list!$A:$R,18,FALSE)&amp;" ","")&amp;IFERROR(VLOOKUP(B22,[1]list!$A:$S,19,FALSE)&amp;" ","")&amp;IFERROR(VLOOKUP(B22,[1]list!$A:$T,20,FALSE)&amp;" ","")))</f>
        <v>goods</v>
      </c>
      <c r="J22" t="str">
        <f>SUBSTITUTE(IFERROR(VLOOKUP(B22,[1]list!$A:$R,15,FALSE)&amp;" ","")," ","")</f>
        <v/>
      </c>
      <c r="K22" t="str">
        <f>SUBSTITUTE(IFERROR(VLOOKUP(B22,[1]list!$A:$R,16,FALSE)&amp;" ","")," ","")</f>
        <v/>
      </c>
      <c r="L22" t="str">
        <f>SUBSTITUTE(IFERROR(VLOOKUP(B22,[1]list!$A:$R,18,FALSE)&amp;" ","")," ","")</f>
        <v/>
      </c>
      <c r="M22" t="str">
        <f t="shared" si="1"/>
        <v>C</v>
      </c>
    </row>
    <row r="23" spans="1:13">
      <c r="A23">
        <v>21</v>
      </c>
      <c r="B23" t="s">
        <v>88</v>
      </c>
      <c r="C23" t="str">
        <f>IFERROR(VLOOKUP(B23,[1]list!$A:$B,2,FALSE),"")</f>
        <v>ドラゴン</v>
      </c>
      <c r="D23" t="str">
        <f>IFERROR(VLOOKUP(B23,[1]list!$A:$F,6,FALSE),"")</f>
        <v>熟練した職人の編みこみによるレザーメッシュが特徴的なブランド。ハイブランドからのオファーも絶えず、常にクオリティの高いレザー製品を手がけています。</v>
      </c>
      <c r="E23" t="str">
        <f>ref!$B$4&amp;ref!$B$5&amp;IFERROR(VLOOKUP(B23,[1]list!$A:$D,4,FALSE),"")</f>
        <v>/fs/lilietnene/c/dragon</v>
      </c>
      <c r="F23" s="1" t="str">
        <f>IFERROR(VLOOKUP(B23,[1]list!$A:$E,5,FALSE),"")</f>
        <v>dragon</v>
      </c>
      <c r="G23" t="str">
        <f t="shared" si="0"/>
        <v>DRAGON ドラゴン</v>
      </c>
      <c r="H23" t="str">
        <f>SUBSTITUTE(IFERROR(VLOOKUP(B23,[1]list!$A:$U,21,FALSE),""),"0","")</f>
        <v>バッグ</v>
      </c>
      <c r="I23" t="str">
        <f>LOWER(TRIM(IFERROR(VLOOKUP(B23,[1]list!$A:$R,15,FALSE)&amp;" ","")&amp;IFERROR(VLOOKUP(B23,[1]list!$A:$R,16,FALSE)&amp;" ","")&amp;IFERROR(VLOOKUP(B23,[1]list!$A:$R,18,FALSE)&amp;" ","")&amp;IFERROR(VLOOKUP(B23,[1]list!$A:$S,19,FALSE)&amp;" ","")&amp;IFERROR(VLOOKUP(B23,[1]list!$A:$T,20,FALSE)&amp;" ","")))</f>
        <v>woman</v>
      </c>
      <c r="J23" t="str">
        <f>SUBSTITUTE(IFERROR(VLOOKUP(B23,[1]list!$A:$R,15,FALSE)&amp;" ","")," ","")</f>
        <v/>
      </c>
      <c r="K23" t="str">
        <f>SUBSTITUTE(IFERROR(VLOOKUP(B23,[1]list!$A:$R,16,FALSE)&amp;" ","")," ","")</f>
        <v/>
      </c>
      <c r="L23" t="str">
        <f>SUBSTITUTE(IFERROR(VLOOKUP(B23,[1]list!$A:$R,18,FALSE)&amp;" ","")," ","")</f>
        <v>WOMAN</v>
      </c>
      <c r="M23" t="str">
        <f t="shared" si="1"/>
        <v>D</v>
      </c>
    </row>
    <row r="24" spans="1:13">
      <c r="A24">
        <v>22</v>
      </c>
      <c r="B24" t="s">
        <v>2286</v>
      </c>
      <c r="C24" t="str">
        <f>IFERROR(VLOOKUP(B24,[1]list!$A:$B,2,FALSE),"")</f>
        <v>エグモントトイズ</v>
      </c>
      <c r="D24" t="str">
        <f>IFERROR(VLOOKUP(B24,[1]list!$A:$F,6,FALSE),"")</f>
        <v>ヨーロッパのおもちゃを取り扱うベルギーのセレクトブランド、Egmont toys(エグモントトイズ)社。良質でしっかりとしたおもちゃは世界中で広く愛されています。</v>
      </c>
      <c r="E24" t="str">
        <f>ref!$B$4&amp;ref!$B$5&amp;IFERROR(VLOOKUP(B24,[1]list!$A:$D,4,FALSE),"")</f>
        <v>/fs/lilietnene/c/egmonttoys</v>
      </c>
      <c r="F24" s="1" t="str">
        <f>IFERROR(VLOOKUP(B24,[1]list!$A:$E,5,FALSE),"")</f>
        <v>egmonttoys</v>
      </c>
      <c r="G24" t="str">
        <f t="shared" si="0"/>
        <v>EGMONT TOYS エグモントトイズ</v>
      </c>
      <c r="H24" t="str">
        <f>SUBSTITUTE(IFERROR(VLOOKUP(B24,[1]list!$A:$U,21,FALSE),""),"0","")</f>
        <v>玩具</v>
      </c>
      <c r="I24" t="str">
        <f>LOWER(TRIM(IFERROR(VLOOKUP(B24,[1]list!$A:$R,15,FALSE)&amp;" ","")&amp;IFERROR(VLOOKUP(B24,[1]list!$A:$R,16,FALSE)&amp;" ","")&amp;IFERROR(VLOOKUP(B24,[1]list!$A:$R,18,FALSE)&amp;" ","")&amp;IFERROR(VLOOKUP(B24,[1]list!$A:$S,19,FALSE)&amp;" ","")&amp;IFERROR(VLOOKUP(B24,[1]list!$A:$T,20,FALSE)&amp;" ","")))</f>
        <v>toy</v>
      </c>
      <c r="J24" t="str">
        <f>SUBSTITUTE(IFERROR(VLOOKUP(B24,[1]list!$A:$R,15,FALSE)&amp;" ","")," ","")</f>
        <v/>
      </c>
      <c r="K24" t="str">
        <f>SUBSTITUTE(IFERROR(VLOOKUP(B24,[1]list!$A:$R,16,FALSE)&amp;" ","")," ","")</f>
        <v/>
      </c>
      <c r="L24" t="str">
        <f>SUBSTITUTE(IFERROR(VLOOKUP(B24,[1]list!$A:$R,18,FALSE)&amp;" ","")," ","")</f>
        <v/>
      </c>
      <c r="M24" t="str">
        <f t="shared" si="1"/>
        <v>E</v>
      </c>
    </row>
    <row r="25" spans="1:13">
      <c r="A25">
        <v>23</v>
      </c>
      <c r="B25" t="s">
        <v>516</v>
      </c>
      <c r="C25" t="str">
        <f>IFERROR(VLOOKUP(B25,[1]list!$A:$B,2,FALSE),"")</f>
        <v>エンゲル</v>
      </c>
      <c r="D25" t="str">
        <f>IFERROR(VLOOKUP(B25,[1]list!$A:$F,6,FALSE),"")</f>
        <v>オランダ生まれのキッズ向け雑貨ブランドENGEL社（エンゲル）。パーティーグッズやペーパー雑貨を中心に特別な日をより華やかに、毎日の暮らしが楽しくなるアイテムを世界中に発信しています。</v>
      </c>
      <c r="E25" t="str">
        <f>ref!$B$4&amp;ref!$B$5&amp;IFERROR(VLOOKUP(B25,[1]list!$A:$D,4,FALSE),"")</f>
        <v>/fs/lilietnene/c/engel</v>
      </c>
      <c r="F25" s="1" t="str">
        <f>IFERROR(VLOOKUP(B25,[1]list!$A:$E,5,FALSE),"")</f>
        <v>engel</v>
      </c>
      <c r="G25" t="str">
        <f t="shared" si="0"/>
        <v>ENGEL エンゲル</v>
      </c>
      <c r="H25" t="str">
        <f>SUBSTITUTE(IFERROR(VLOOKUP(B25,[1]list!$A:$U,21,FALSE),""),"0","")</f>
        <v>キッズ雑貨</v>
      </c>
      <c r="I25" t="str">
        <f>LOWER(TRIM(IFERROR(VLOOKUP(B25,[1]list!$A:$R,15,FALSE)&amp;" ","")&amp;IFERROR(VLOOKUP(B25,[1]list!$A:$R,16,FALSE)&amp;" ","")&amp;IFERROR(VLOOKUP(B25,[1]list!$A:$R,18,FALSE)&amp;" ","")&amp;IFERROR(VLOOKUP(B25,[1]list!$A:$S,19,FALSE)&amp;" ","")&amp;IFERROR(VLOOKUP(B25,[1]list!$A:$T,20,FALSE)&amp;" ","")))</f>
        <v>goods</v>
      </c>
      <c r="J25" t="str">
        <f>SUBSTITUTE(IFERROR(VLOOKUP(B25,[1]list!$A:$R,15,FALSE)&amp;" ","")," ","")</f>
        <v/>
      </c>
      <c r="K25" t="str">
        <f>SUBSTITUTE(IFERROR(VLOOKUP(B25,[1]list!$A:$R,16,FALSE)&amp;" ","")," ","")</f>
        <v/>
      </c>
      <c r="L25" t="str">
        <f>SUBSTITUTE(IFERROR(VLOOKUP(B25,[1]list!$A:$R,18,FALSE)&amp;" ","")," ","")</f>
        <v/>
      </c>
      <c r="M25" t="str">
        <f t="shared" si="1"/>
        <v>E</v>
      </c>
    </row>
    <row r="26" spans="1:13">
      <c r="A26">
        <v>24</v>
      </c>
      <c r="B26" t="s">
        <v>2287</v>
      </c>
      <c r="C26" t="str">
        <f>IFERROR(VLOOKUP(B26,[1]list!$A:$B,2,FALSE),"")</f>
        <v>エリザベスダブリュー</v>
      </c>
      <c r="D26" t="str">
        <f>IFERROR(VLOOKUP(B26,[1]list!$A:$F,6,FALSE),"")</f>
        <v>エリザベスダブリューは、老舗の香水専門店からスタートした、アメリカサンフランシスコ生まれのブランド。上質な素材と洗練されたデザインのフレグランスやハンドクリーム、バスアイテムを作っています。</v>
      </c>
      <c r="E26" t="str">
        <f>ref!$B$4&amp;ref!$B$5&amp;IFERROR(VLOOKUP(B26,[1]list!$A:$D,4,FALSE),"")</f>
        <v>/fs/lilietnene/c/elizabethw</v>
      </c>
      <c r="F26" s="1" t="str">
        <f>IFERROR(VLOOKUP(B26,[1]list!$A:$E,5,FALSE),"")</f>
        <v>elizabethw</v>
      </c>
      <c r="G26" t="str">
        <f t="shared" si="0"/>
        <v>ELIZABETH W エリザベスダブリュー</v>
      </c>
      <c r="H26" t="str">
        <f>SUBSTITUTE(IFERROR(VLOOKUP(B26,[1]list!$A:$U,21,FALSE),""),"0","")</f>
        <v>フレグランス</v>
      </c>
      <c r="I26" t="str">
        <f>LOWER(TRIM(IFERROR(VLOOKUP(B26,[1]list!$A:$R,15,FALSE)&amp;" ","")&amp;IFERROR(VLOOKUP(B26,[1]list!$A:$R,16,FALSE)&amp;" ","")&amp;IFERROR(VLOOKUP(B26,[1]list!$A:$R,18,FALSE)&amp;" ","")&amp;IFERROR(VLOOKUP(B26,[1]list!$A:$S,19,FALSE)&amp;" ","")&amp;IFERROR(VLOOKUP(B26,[1]list!$A:$T,20,FALSE)&amp;" ","")))</f>
        <v>goods</v>
      </c>
      <c r="J26" t="str">
        <f>SUBSTITUTE(IFERROR(VLOOKUP(B26,[1]list!$A:$R,15,FALSE)&amp;" ","")," ","")</f>
        <v/>
      </c>
      <c r="K26" t="str">
        <f>SUBSTITUTE(IFERROR(VLOOKUP(B26,[1]list!$A:$R,16,FALSE)&amp;" ","")," ","")</f>
        <v/>
      </c>
      <c r="L26" t="str">
        <f>SUBSTITUTE(IFERROR(VLOOKUP(B26,[1]list!$A:$R,18,FALSE)&amp;" ","")," ","")</f>
        <v/>
      </c>
      <c r="M26" t="str">
        <f t="shared" si="1"/>
        <v>E</v>
      </c>
    </row>
    <row r="27" spans="1:13">
      <c r="A27">
        <v>25</v>
      </c>
      <c r="B27" t="s">
        <v>58</v>
      </c>
      <c r="C27" t="str">
        <f>IFERROR(VLOOKUP(B27,[1]list!$A:$B,2,FALSE),"")</f>
        <v>エミールエイダ</v>
      </c>
      <c r="D27" t="str">
        <f>IFERROR(VLOOKUP(B27,[1]list!$A:$F,6,FALSE),"")</f>
        <v>2007年に設立されたフランスの子供服ブランド。子どもの快適な毎日のために動きやすく着心地のよい素材を選び、ヴィンテージテイスト、ロックンロールなどにインスパイアされた、ニュアンスのある色使いと、ちょっと遊び心のあるエスプリの効いたデザインが特徴。</v>
      </c>
      <c r="E27" t="str">
        <f>ref!$B$4&amp;ref!$B$5&amp;IFERROR(VLOOKUP(B27,[1]list!$A:$D,4,FALSE),"")</f>
        <v>/fs/lilietnene/c/emileetida</v>
      </c>
      <c r="F27" s="1" t="str">
        <f>IFERROR(VLOOKUP(B27,[1]list!$A:$E,5,FALSE),"")</f>
        <v>emileetida</v>
      </c>
      <c r="G27" t="str">
        <f t="shared" si="0"/>
        <v>EMILE ET IDA エミールエイダ</v>
      </c>
      <c r="H27" t="str">
        <f>SUBSTITUTE(IFERROR(VLOOKUP(B27,[1]list!$A:$U,21,FALSE),""),"0","")</f>
        <v>ウエア</v>
      </c>
      <c r="I27" t="str">
        <f>LOWER(TRIM(IFERROR(VLOOKUP(B27,[1]list!$A:$R,15,FALSE)&amp;" ","")&amp;IFERROR(VLOOKUP(B27,[1]list!$A:$R,16,FALSE)&amp;" ","")&amp;IFERROR(VLOOKUP(B27,[1]list!$A:$R,18,FALSE)&amp;" ","")&amp;IFERROR(VLOOKUP(B27,[1]list!$A:$S,19,FALSE)&amp;" ","")&amp;IFERROR(VLOOKUP(B27,[1]list!$A:$T,20,FALSE)&amp;" ","")))</f>
        <v>baby kids</v>
      </c>
      <c r="J27" t="str">
        <f>SUBSTITUTE(IFERROR(VLOOKUP(B27,[1]list!$A:$R,15,FALSE)&amp;" ","")," ","")</f>
        <v>BABY</v>
      </c>
      <c r="K27" t="str">
        <f>SUBSTITUTE(IFERROR(VLOOKUP(B27,[1]list!$A:$R,16,FALSE)&amp;" ","")," ","")</f>
        <v>KIDS</v>
      </c>
      <c r="L27" t="str">
        <f>SUBSTITUTE(IFERROR(VLOOKUP(B27,[1]list!$A:$R,18,FALSE)&amp;" ","")," ","")</f>
        <v/>
      </c>
      <c r="M27" t="str">
        <f t="shared" si="1"/>
        <v>E</v>
      </c>
    </row>
    <row r="28" spans="1:13">
      <c r="A28">
        <v>26</v>
      </c>
      <c r="B28" t="s">
        <v>89</v>
      </c>
      <c r="C28" t="str">
        <f>IFERROR(VLOOKUP(B28,[1]list!$A:$B,2,FALSE),"")</f>
        <v>ファビオルスコーニ</v>
      </c>
      <c r="D28" t="str">
        <f>IFERROR(VLOOKUP(B28,[1]list!$A:$F,6,FALSE),"")</f>
        <v>イタリア、トスカーナ州フィレンツェ在住のシューズデザイナー、FabioRusconiが1998年に立ち上げたブランド。若々しい女性、行動的な女性、洗練された女性のために捧げたコレクションです。</v>
      </c>
      <c r="E28" t="str">
        <f>ref!$B$4&amp;ref!$B$5&amp;IFERROR(VLOOKUP(B28,[1]list!$A:$D,4,FALSE),"")</f>
        <v>/fs/lilietnene/c/fabiorusconi</v>
      </c>
      <c r="F28" s="1" t="str">
        <f>IFERROR(VLOOKUP(B28,[1]list!$A:$E,5,FALSE),"")</f>
        <v>fabiorusconi</v>
      </c>
      <c r="G28" t="str">
        <f t="shared" si="0"/>
        <v>FABIO RUSCONI ファビオルスコーニ</v>
      </c>
      <c r="H28" t="str">
        <f>SUBSTITUTE(IFERROR(VLOOKUP(B28,[1]list!$A:$U,21,FALSE),""),"0","")</f>
        <v>シューズ</v>
      </c>
      <c r="I28" t="str">
        <f>LOWER(TRIM(IFERROR(VLOOKUP(B28,[1]list!$A:$R,15,FALSE)&amp;" ","")&amp;IFERROR(VLOOKUP(B28,[1]list!$A:$R,16,FALSE)&amp;" ","")&amp;IFERROR(VLOOKUP(B28,[1]list!$A:$R,18,FALSE)&amp;" ","")&amp;IFERROR(VLOOKUP(B28,[1]list!$A:$S,19,FALSE)&amp;" ","")&amp;IFERROR(VLOOKUP(B28,[1]list!$A:$T,20,FALSE)&amp;" ","")))</f>
        <v>woman</v>
      </c>
      <c r="J28" t="str">
        <f>SUBSTITUTE(IFERROR(VLOOKUP(B28,[1]list!$A:$R,15,FALSE)&amp;" ","")," ","")</f>
        <v/>
      </c>
      <c r="K28" t="str">
        <f>SUBSTITUTE(IFERROR(VLOOKUP(B28,[1]list!$A:$R,16,FALSE)&amp;" ","")," ","")</f>
        <v/>
      </c>
      <c r="L28" t="str">
        <f>SUBSTITUTE(IFERROR(VLOOKUP(B28,[1]list!$A:$R,18,FALSE)&amp;" ","")," ","")</f>
        <v>WOMAN</v>
      </c>
      <c r="M28" t="str">
        <f t="shared" si="1"/>
        <v>F</v>
      </c>
    </row>
    <row r="29" spans="1:13">
      <c r="A29">
        <v>27</v>
      </c>
      <c r="B29" t="s">
        <v>154</v>
      </c>
      <c r="C29" t="str">
        <f>IFERROR(VLOOKUP(B29,[1]list!$A:$B,2,FALSE),"")</f>
        <v>ファビュラスガーランド</v>
      </c>
      <c r="D29" t="str">
        <f>IFERROR(VLOOKUP(B29,[1]list!$A:$F,6,FALSE),"")</f>
        <v>ファビュラスガーランドは、パリで活躍するアーティストSophieCuvelierが展開するペーパーバナー。染色した紙を使用した深い色合いと温か味がパリでも人気を集めています。</v>
      </c>
      <c r="E29" t="str">
        <f>ref!$B$4&amp;ref!$B$5&amp;IFERROR(VLOOKUP(B29,[1]list!$A:$D,4,FALSE),"")</f>
        <v>/fs/lilietnene/c/fabulousgarlands</v>
      </c>
      <c r="F29" s="1" t="str">
        <f>IFERROR(VLOOKUP(B29,[1]list!$A:$E,5,FALSE),"")</f>
        <v>fabulousgarlands</v>
      </c>
      <c r="G29" t="str">
        <f t="shared" si="0"/>
        <v>THE FABULOUS GARLANDS ファビュラスガーランド</v>
      </c>
      <c r="H29" t="str">
        <f>SUBSTITUTE(IFERROR(VLOOKUP(B29,[1]list!$A:$U,21,FALSE),""),"0","")</f>
        <v>アート・オブジェ</v>
      </c>
      <c r="I29" t="str">
        <f>LOWER(TRIM(IFERROR(VLOOKUP(B29,[1]list!$A:$R,15,FALSE)&amp;" ","")&amp;IFERROR(VLOOKUP(B29,[1]list!$A:$R,16,FALSE)&amp;" ","")&amp;IFERROR(VLOOKUP(B29,[1]list!$A:$R,18,FALSE)&amp;" ","")&amp;IFERROR(VLOOKUP(B29,[1]list!$A:$S,19,FALSE)&amp;" ","")&amp;IFERROR(VLOOKUP(B29,[1]list!$A:$T,20,FALSE)&amp;" ","")))</f>
        <v>goods</v>
      </c>
      <c r="J29" t="str">
        <f>SUBSTITUTE(IFERROR(VLOOKUP(B29,[1]list!$A:$R,15,FALSE)&amp;" ","")," ","")</f>
        <v/>
      </c>
      <c r="K29" t="str">
        <f>SUBSTITUTE(IFERROR(VLOOKUP(B29,[1]list!$A:$R,16,FALSE)&amp;" ","")," ","")</f>
        <v/>
      </c>
      <c r="L29" t="str">
        <f>SUBSTITUTE(IFERROR(VLOOKUP(B29,[1]list!$A:$R,18,FALSE)&amp;" ","")," ","")</f>
        <v/>
      </c>
      <c r="M29" t="str">
        <f t="shared" si="1"/>
        <v>T</v>
      </c>
    </row>
    <row r="30" spans="1:13">
      <c r="A30">
        <v>28</v>
      </c>
      <c r="B30" t="s">
        <v>90</v>
      </c>
      <c r="C30" t="str">
        <f>IFERROR(VLOOKUP(B30,[1]list!$A:$B,2,FALSE),"")</f>
        <v>ファリエロサルティ</v>
      </c>
      <c r="D30" t="str">
        <f>IFERROR(VLOOKUP(B30,[1]list!$A:$F,6,FALSE),"")</f>
        <v>ストールが人気のファリエロ・サルティは、1949年にイタリアに創立された老舗テキスタイルメーカー。ハイレベルな完成度や創造性が生むラグジュアリーなデザインが世界中で愛され、世界的デザイナーや衣服メーカーからも絶大な信頼を寄せられています。</v>
      </c>
      <c r="E30" t="str">
        <f>ref!$B$4&amp;ref!$B$5&amp;IFERROR(VLOOKUP(B30,[1]list!$A:$D,4,FALSE),"")</f>
        <v>/fs/lilietnene/c/falierosarti</v>
      </c>
      <c r="F30" s="1" t="str">
        <f>IFERROR(VLOOKUP(B30,[1]list!$A:$E,5,FALSE),"")</f>
        <v>falierosarti</v>
      </c>
      <c r="G30" t="str">
        <f t="shared" si="0"/>
        <v>FALIERO SARTI ファリエロサルティ</v>
      </c>
      <c r="H30" t="str">
        <f>SUBSTITUTE(IFERROR(VLOOKUP(B30,[1]list!$A:$U,21,FALSE),""),"0","")</f>
        <v>ストール</v>
      </c>
      <c r="I30" t="str">
        <f>LOWER(TRIM(IFERROR(VLOOKUP(B30,[1]list!$A:$R,15,FALSE)&amp;" ","")&amp;IFERROR(VLOOKUP(B30,[1]list!$A:$R,16,FALSE)&amp;" ","")&amp;IFERROR(VLOOKUP(B30,[1]list!$A:$R,18,FALSE)&amp;" ","")&amp;IFERROR(VLOOKUP(B30,[1]list!$A:$S,19,FALSE)&amp;" ","")&amp;IFERROR(VLOOKUP(B30,[1]list!$A:$T,20,FALSE)&amp;" ","")))</f>
        <v>woman</v>
      </c>
      <c r="J30" t="str">
        <f>SUBSTITUTE(IFERROR(VLOOKUP(B30,[1]list!$A:$R,15,FALSE)&amp;" ","")," ","")</f>
        <v/>
      </c>
      <c r="K30" t="str">
        <f>SUBSTITUTE(IFERROR(VLOOKUP(B30,[1]list!$A:$R,16,FALSE)&amp;" ","")," ","")</f>
        <v/>
      </c>
      <c r="L30" t="str">
        <f>SUBSTITUTE(IFERROR(VLOOKUP(B30,[1]list!$A:$R,18,FALSE)&amp;" ","")," ","")</f>
        <v>WOMAN</v>
      </c>
      <c r="M30" t="str">
        <f t="shared" si="1"/>
        <v>F</v>
      </c>
    </row>
    <row r="31" spans="1:13">
      <c r="A31">
        <v>29</v>
      </c>
      <c r="B31" t="s">
        <v>2288</v>
      </c>
      <c r="C31" t="str">
        <f>IFERROR(VLOOKUP(B31,[1]list!$A:$B,2,FALSE),"")</f>
        <v>フラマン</v>
      </c>
      <c r="D31" t="str">
        <f>IFERROR(VLOOKUP(B31,[1]list!$A:$F,6,FALSE),"")</f>
        <v>フラマン社はベルギー・フランスを中心にヨーロッパでコンセプトショップを展開し、20年以上に渡って人々に広く親しまれ、常にインテリア業界をリードしてきました。</v>
      </c>
      <c r="E31" t="str">
        <f>ref!$B$4&amp;ref!$B$5&amp;IFERROR(VLOOKUP(B31,[1]list!$A:$D,4,FALSE),"")</f>
        <v>/fs/lilietnene/c/flamant</v>
      </c>
      <c r="F31" s="1" t="str">
        <f>IFERROR(VLOOKUP(B31,[1]list!$A:$E,5,FALSE),"")</f>
        <v>flamant</v>
      </c>
      <c r="G31" t="str">
        <f t="shared" si="0"/>
        <v>FLAMANT フラマン</v>
      </c>
      <c r="H31" t="str">
        <f>SUBSTITUTE(IFERROR(VLOOKUP(B31,[1]list!$A:$U,21,FALSE),""),"0","")</f>
        <v>インテリア・ハウスウエア</v>
      </c>
      <c r="I31" t="str">
        <f>LOWER(TRIM(IFERROR(VLOOKUP(B31,[1]list!$A:$R,15,FALSE)&amp;" ","")&amp;IFERROR(VLOOKUP(B31,[1]list!$A:$R,16,FALSE)&amp;" ","")&amp;IFERROR(VLOOKUP(B31,[1]list!$A:$R,18,FALSE)&amp;" ","")&amp;IFERROR(VLOOKUP(B31,[1]list!$A:$S,19,FALSE)&amp;" ","")&amp;IFERROR(VLOOKUP(B31,[1]list!$A:$T,20,FALSE)&amp;" ","")))</f>
        <v>goods</v>
      </c>
      <c r="J31" t="str">
        <f>SUBSTITUTE(IFERROR(VLOOKUP(B31,[1]list!$A:$R,15,FALSE)&amp;" ","")," ","")</f>
        <v/>
      </c>
      <c r="K31" t="str">
        <f>SUBSTITUTE(IFERROR(VLOOKUP(B31,[1]list!$A:$R,16,FALSE)&amp;" ","")," ","")</f>
        <v/>
      </c>
      <c r="L31" t="str">
        <f>SUBSTITUTE(IFERROR(VLOOKUP(B31,[1]list!$A:$R,18,FALSE)&amp;" ","")," ","")</f>
        <v/>
      </c>
      <c r="M31" t="str">
        <f t="shared" si="1"/>
        <v>F</v>
      </c>
    </row>
    <row r="32" spans="1:13">
      <c r="A32">
        <v>30</v>
      </c>
      <c r="B32" t="s">
        <v>523</v>
      </c>
      <c r="C32" t="str">
        <f>IFERROR(VLOOKUP(B32,[1]list!$A:$B,2,FALSE),"")</f>
        <v>フォグ リネンワーク</v>
      </c>
      <c r="D32" t="str">
        <f>IFERROR(VLOOKUP(B32,[1]list!$A:$F,6,FALSE),"")</f>
        <v>ナチュラルで素朴な味わいのあるfog linen work。上質ながらも生活にスッと溶け込むシンプルなアイテムが人気です。</v>
      </c>
      <c r="E32" t="str">
        <f>ref!$B$4&amp;ref!$B$5&amp;IFERROR(VLOOKUP(B32,[1]list!$A:$D,4,FALSE),"")</f>
        <v>/fs/lilietnene/c/foglinenwork-all</v>
      </c>
      <c r="F32" s="1" t="str">
        <f>IFERROR(VLOOKUP(B32,[1]list!$A:$E,5,FALSE),"")</f>
        <v>foglinenwork</v>
      </c>
      <c r="G32" t="str">
        <f t="shared" si="0"/>
        <v>FOG LINEN WORK フォグ リネンワーク</v>
      </c>
      <c r="H32" t="str">
        <f>SUBSTITUTE(IFERROR(VLOOKUP(B32,[1]list!$A:$U,21,FALSE),""),"0","")</f>
        <v>インテリア・ハウスウエア</v>
      </c>
      <c r="I32" t="str">
        <f>LOWER(TRIM(IFERROR(VLOOKUP(B32,[1]list!$A:$R,15,FALSE)&amp;" ","")&amp;IFERROR(VLOOKUP(B32,[1]list!$A:$R,16,FALSE)&amp;" ","")&amp;IFERROR(VLOOKUP(B32,[1]list!$A:$R,18,FALSE)&amp;" ","")&amp;IFERROR(VLOOKUP(B32,[1]list!$A:$S,19,FALSE)&amp;" ","")&amp;IFERROR(VLOOKUP(B32,[1]list!$A:$T,20,FALSE)&amp;" ","")))</f>
        <v>goods</v>
      </c>
      <c r="J32" t="str">
        <f>SUBSTITUTE(IFERROR(VLOOKUP(B32,[1]list!$A:$R,15,FALSE)&amp;" ","")," ","")</f>
        <v/>
      </c>
      <c r="K32" t="str">
        <f>SUBSTITUTE(IFERROR(VLOOKUP(B32,[1]list!$A:$R,16,FALSE)&amp;" ","")," ","")</f>
        <v/>
      </c>
      <c r="L32" t="str">
        <f>SUBSTITUTE(IFERROR(VLOOKUP(B32,[1]list!$A:$R,18,FALSE)&amp;" ","")," ","")</f>
        <v/>
      </c>
      <c r="M32" t="str">
        <f t="shared" si="1"/>
        <v>F</v>
      </c>
    </row>
    <row r="33" spans="1:13">
      <c r="A33">
        <v>31</v>
      </c>
      <c r="B33" t="s">
        <v>527</v>
      </c>
      <c r="C33" t="str">
        <f>IFERROR(VLOOKUP(B33,[1]list!$A:$B,2,FALSE),"")</f>
        <v>ジジ</v>
      </c>
      <c r="D33" t="str">
        <f>IFERROR(VLOOKUP(B33,[1]list!$A:$F,6,FALSE),"")</f>
        <v>木のおもちゃをはじめとする"こども"に親しまれるものをつくる2人組。安全基準や品質、素材にこだわって作られるおもちゃは、愛情に溢れたあたたかい雰囲気にあふれています。</v>
      </c>
      <c r="E33" t="str">
        <f>ref!$B$4&amp;ref!$B$5&amp;IFERROR(VLOOKUP(B33,[1]list!$A:$D,4,FALSE),"")</f>
        <v>/fs/lilietnene/c/gg</v>
      </c>
      <c r="F33" s="1" t="str">
        <f>IFERROR(VLOOKUP(B33,[1]list!$A:$E,5,FALSE),"")</f>
        <v>gg</v>
      </c>
      <c r="G33" t="str">
        <f t="shared" ref="G33:G62" si="2">B33&amp;" "&amp;C33</f>
        <v>gg* ジジ</v>
      </c>
      <c r="H33" t="str">
        <f>SUBSTITUTE(IFERROR(VLOOKUP(B33,[1]list!$A:$U,21,FALSE),""),"0","")</f>
        <v>玩具</v>
      </c>
      <c r="I33" t="str">
        <f>LOWER(TRIM(IFERROR(VLOOKUP(B33,[1]list!$A:$R,15,FALSE)&amp;" ","")&amp;IFERROR(VLOOKUP(B33,[1]list!$A:$R,16,FALSE)&amp;" ","")&amp;IFERROR(VLOOKUP(B33,[1]list!$A:$R,18,FALSE)&amp;" ","")&amp;IFERROR(VLOOKUP(B33,[1]list!$A:$S,19,FALSE)&amp;" ","")&amp;IFERROR(VLOOKUP(B33,[1]list!$A:$T,20,FALSE)&amp;" ","")))</f>
        <v>goods toy</v>
      </c>
      <c r="J33" t="str">
        <f>SUBSTITUTE(IFERROR(VLOOKUP(B33,[1]list!$A:$R,15,FALSE)&amp;" ","")," ","")</f>
        <v/>
      </c>
      <c r="K33" t="str">
        <f>SUBSTITUTE(IFERROR(VLOOKUP(B33,[1]list!$A:$R,16,FALSE)&amp;" ","")," ","")</f>
        <v/>
      </c>
      <c r="L33" t="str">
        <f>SUBSTITUTE(IFERROR(VLOOKUP(B33,[1]list!$A:$R,18,FALSE)&amp;" ","")," ","")</f>
        <v/>
      </c>
      <c r="M33" t="str">
        <f t="shared" si="1"/>
        <v>g</v>
      </c>
    </row>
    <row r="34" spans="1:13">
      <c r="A34">
        <v>32</v>
      </c>
      <c r="B34" t="s">
        <v>532</v>
      </c>
      <c r="C34" t="str">
        <f>IFERROR(VLOOKUP(B34,[1]list!$A:$B,2,FALSE),"")</f>
        <v>グリュックスケーファー</v>
      </c>
      <c r="D34" t="str">
        <f>IFERROR(VLOOKUP(B34,[1]list!$A:$F,6,FALSE),"")</f>
        <v>1945年にドイツで設立され、上質で子供に優しいオモチャを作り続け、ヨーロッパの保育園や幼稚園でも愛用されています。シンプルでいながらも安心した使い心地が人気です。</v>
      </c>
      <c r="E34" t="str">
        <f>ref!$B$4&amp;ref!$B$5&amp;IFERROR(VLOOKUP(B34,[1]list!$A:$D,4,FALSE),"")</f>
        <v>/fs/lilietnene/c/gluckskafer</v>
      </c>
      <c r="F34" s="1" t="str">
        <f>IFERROR(VLOOKUP(B34,[1]list!$A:$E,5,FALSE),"")</f>
        <v>gluckskafer</v>
      </c>
      <c r="G34" t="str">
        <f t="shared" si="2"/>
        <v>GLUCKSKAFER グリュックスケーファー</v>
      </c>
      <c r="H34" t="str">
        <f>SUBSTITUTE(IFERROR(VLOOKUP(B34,[1]list!$A:$U,21,FALSE),""),"0","")</f>
        <v>玩具</v>
      </c>
      <c r="I34" t="str">
        <f>LOWER(TRIM(IFERROR(VLOOKUP(B34,[1]list!$A:$R,15,FALSE)&amp;" ","")&amp;IFERROR(VLOOKUP(B34,[1]list!$A:$R,16,FALSE)&amp;" ","")&amp;IFERROR(VLOOKUP(B34,[1]list!$A:$R,18,FALSE)&amp;" ","")&amp;IFERROR(VLOOKUP(B34,[1]list!$A:$S,19,FALSE)&amp;" ","")&amp;IFERROR(VLOOKUP(B34,[1]list!$A:$T,20,FALSE)&amp;" ","")))</f>
        <v>goods toy</v>
      </c>
      <c r="J34" t="str">
        <f>SUBSTITUTE(IFERROR(VLOOKUP(B34,[1]list!$A:$R,15,FALSE)&amp;" ","")," ","")</f>
        <v/>
      </c>
      <c r="K34" t="str">
        <f>SUBSTITUTE(IFERROR(VLOOKUP(B34,[1]list!$A:$R,16,FALSE)&amp;" ","")," ","")</f>
        <v/>
      </c>
      <c r="L34" t="str">
        <f>SUBSTITUTE(IFERROR(VLOOKUP(B34,[1]list!$A:$R,18,FALSE)&amp;" ","")," ","")</f>
        <v/>
      </c>
      <c r="M34" t="str">
        <f t="shared" ref="M34:M63" si="3">LEFT(B34,1)</f>
        <v>G</v>
      </c>
    </row>
    <row r="35" spans="1:13">
      <c r="A35">
        <v>33</v>
      </c>
      <c r="B35" t="s">
        <v>59</v>
      </c>
      <c r="C35" t="str">
        <f>IFERROR(VLOOKUP(B35,[1]list!$A:$B,2,FALSE),"")</f>
        <v>ゴールド</v>
      </c>
      <c r="D35" t="str">
        <f>IFERROR(VLOOKUP(B35,[1]list!$A:$F,6,FALSE),"")</f>
        <v>GOLDは、アントワープで学んだベルギーのデザイナー、Liz to Dirk によるベビー・キッズブランド。シンプルな中にもさり気なく個性的なアクセントを取り入れたアイテムがヨーロッパで人気を集めています。</v>
      </c>
      <c r="E35" t="str">
        <f>ref!$B$4&amp;ref!$B$5&amp;IFERROR(VLOOKUP(B35,[1]list!$A:$D,4,FALSE),"")</f>
        <v>/fs/lilietnene/c/gold</v>
      </c>
      <c r="F35" s="1" t="str">
        <f>IFERROR(VLOOKUP(B35,[1]list!$A:$E,5,FALSE),"")</f>
        <v>gold</v>
      </c>
      <c r="G35" t="str">
        <f t="shared" si="2"/>
        <v>GOLD ゴールド</v>
      </c>
      <c r="H35" t="str">
        <f>SUBSTITUTE(IFERROR(VLOOKUP(B35,[1]list!$A:$U,21,FALSE),""),"0","")</f>
        <v>ウエア</v>
      </c>
      <c r="I35" t="str">
        <f>LOWER(TRIM(IFERROR(VLOOKUP(B35,[1]list!$A:$R,15,FALSE)&amp;" ","")&amp;IFERROR(VLOOKUP(B35,[1]list!$A:$R,16,FALSE)&amp;" ","")&amp;IFERROR(VLOOKUP(B35,[1]list!$A:$R,18,FALSE)&amp;" ","")&amp;IFERROR(VLOOKUP(B35,[1]list!$A:$S,19,FALSE)&amp;" ","")&amp;IFERROR(VLOOKUP(B35,[1]list!$A:$T,20,FALSE)&amp;" ","")))</f>
        <v>baby kids</v>
      </c>
      <c r="J35" t="str">
        <f>SUBSTITUTE(IFERROR(VLOOKUP(B35,[1]list!$A:$R,15,FALSE)&amp;" ","")," ","")</f>
        <v>BABY</v>
      </c>
      <c r="K35" t="str">
        <f>SUBSTITUTE(IFERROR(VLOOKUP(B35,[1]list!$A:$R,16,FALSE)&amp;" ","")," ","")</f>
        <v>KIDS</v>
      </c>
      <c r="L35" t="str">
        <f>SUBSTITUTE(IFERROR(VLOOKUP(B35,[1]list!$A:$R,18,FALSE)&amp;" ","")," ","")</f>
        <v/>
      </c>
      <c r="M35" t="str">
        <f t="shared" si="3"/>
        <v>G</v>
      </c>
    </row>
    <row r="36" spans="1:13">
      <c r="A36">
        <v>34</v>
      </c>
      <c r="B36" t="s">
        <v>60</v>
      </c>
      <c r="C36" t="str">
        <f>IFERROR(VLOOKUP(B36,[1]list!$A:$B,2,FALSE),"")</f>
        <v>ハートフォード</v>
      </c>
      <c r="D36" t="str">
        <f>IFERROR(VLOOKUP(B36,[1]list!$A:$F,6,FALSE),"")</f>
        <v>1979年にフランスで創立されたHartford。現在では『オルタナティブ・クラシックス』のポリシーで洗練されたリアルクローズコレクションを展開。キッズとレディースラインをセレクト。</v>
      </c>
      <c r="E36" t="str">
        <f>ref!$B$4&amp;ref!$B$5&amp;IFERROR(VLOOKUP(B36,[1]list!$A:$D,4,FALSE),"")</f>
        <v>/fs/lilietnene/c/hartford</v>
      </c>
      <c r="F36" s="1" t="str">
        <f>IFERROR(VLOOKUP(B36,[1]list!$A:$E,5,FALSE),"")</f>
        <v>hartford</v>
      </c>
      <c r="G36" t="str">
        <f t="shared" si="2"/>
        <v>HARTFORD ハートフォード</v>
      </c>
      <c r="H36" t="str">
        <f>SUBSTITUTE(IFERROR(VLOOKUP(B36,[1]list!$A:$U,21,FALSE),""),"0","")</f>
        <v>ウエア</v>
      </c>
      <c r="I36" t="str">
        <f>LOWER(TRIM(IFERROR(VLOOKUP(B36,[1]list!$A:$R,15,FALSE)&amp;" ","")&amp;IFERROR(VLOOKUP(B36,[1]list!$A:$R,16,FALSE)&amp;" ","")&amp;IFERROR(VLOOKUP(B36,[1]list!$A:$R,18,FALSE)&amp;" ","")&amp;IFERROR(VLOOKUP(B36,[1]list!$A:$S,19,FALSE)&amp;" ","")&amp;IFERROR(VLOOKUP(B36,[1]list!$A:$T,20,FALSE)&amp;" ","")))</f>
        <v>baby kids</v>
      </c>
      <c r="J36" t="str">
        <f>SUBSTITUTE(IFERROR(VLOOKUP(B36,[1]list!$A:$R,15,FALSE)&amp;" ","")," ","")</f>
        <v>BABY</v>
      </c>
      <c r="K36" t="str">
        <f>SUBSTITUTE(IFERROR(VLOOKUP(B36,[1]list!$A:$R,16,FALSE)&amp;" ","")," ","")</f>
        <v>KIDS</v>
      </c>
      <c r="L36" t="str">
        <f>SUBSTITUTE(IFERROR(VLOOKUP(B36,[1]list!$A:$R,18,FALSE)&amp;" ","")," ","")</f>
        <v/>
      </c>
      <c r="M36" t="str">
        <f t="shared" si="3"/>
        <v>H</v>
      </c>
    </row>
    <row r="37" spans="1:13">
      <c r="A37">
        <v>35</v>
      </c>
      <c r="B37" t="s">
        <v>91</v>
      </c>
      <c r="C37" t="str">
        <f>IFERROR(VLOOKUP(B37,[1]list!$A:$B,2,FALSE),"")</f>
        <v>ヘレンカミンスキー</v>
      </c>
      <c r="D37" t="str">
        <f>IFERROR(VLOOKUP(B37,[1]list!$A:$F,6,FALSE),"")</f>
        <v>ヘレンカミンスキーは1983年オーストラリアでスタートしたブランド。ラフィアハットを中心に、天然素材と伝統的な手作りの製法、モダンなデザインと機能性にこだわったアイテムを展開。</v>
      </c>
      <c r="E37" t="str">
        <f>ref!$B$4&amp;ref!$B$5&amp;IFERROR(VLOOKUP(B37,[1]list!$A:$D,4,FALSE),"")</f>
        <v>/fs/lilietnene/c/helenkaminski</v>
      </c>
      <c r="F37" s="1" t="str">
        <f>IFERROR(VLOOKUP(B37,[1]list!$A:$E,5,FALSE),"")</f>
        <v>helenkaminski</v>
      </c>
      <c r="G37" t="str">
        <f t="shared" si="2"/>
        <v>HELEN KAMINSKI ヘレンカミンスキー</v>
      </c>
      <c r="H37" t="str">
        <f>SUBSTITUTE(IFERROR(VLOOKUP(B37,[1]list!$A:$U,21,FALSE),""),"0","")</f>
        <v>ハット</v>
      </c>
      <c r="I37" t="str">
        <f>LOWER(TRIM(IFERROR(VLOOKUP(B37,[1]list!$A:$R,15,FALSE)&amp;" ","")&amp;IFERROR(VLOOKUP(B37,[1]list!$A:$R,16,FALSE)&amp;" ","")&amp;IFERROR(VLOOKUP(B37,[1]list!$A:$R,18,FALSE)&amp;" ","")&amp;IFERROR(VLOOKUP(B37,[1]list!$A:$S,19,FALSE)&amp;" ","")&amp;IFERROR(VLOOKUP(B37,[1]list!$A:$T,20,FALSE)&amp;" ","")))</f>
        <v>woman</v>
      </c>
      <c r="J37" t="str">
        <f>SUBSTITUTE(IFERROR(VLOOKUP(B37,[1]list!$A:$R,15,FALSE)&amp;" ","")," ","")</f>
        <v/>
      </c>
      <c r="K37" t="str">
        <f>SUBSTITUTE(IFERROR(VLOOKUP(B37,[1]list!$A:$R,16,FALSE)&amp;" ","")," ","")</f>
        <v/>
      </c>
      <c r="L37" t="str">
        <f>SUBSTITUTE(IFERROR(VLOOKUP(B37,[1]list!$A:$R,18,FALSE)&amp;" ","")," ","")</f>
        <v>WOMAN</v>
      </c>
      <c r="M37" t="str">
        <f t="shared" si="3"/>
        <v>H</v>
      </c>
    </row>
    <row r="38" spans="1:13">
      <c r="A38">
        <v>36</v>
      </c>
      <c r="B38" t="s">
        <v>536</v>
      </c>
      <c r="C38" t="str">
        <f>IFERROR(VLOOKUP(B38,[1]list!$A:$B,2,FALSE),"")</f>
        <v>ヒュプシュ</v>
      </c>
      <c r="D38" t="str">
        <f>IFERROR(VLOOKUP(B38,[1]list!$A:$F,6,FALSE),"")</f>
        <v>Hubsch（ヒュプシュ）は、デンマークのインテリアブランド。Happinessをキーワードに、ハイクオリティなインテリアデザインを独自のスタイルで手掛けています。ディテールにこだわったコレクションは、使う人々の視点に立ち作り上げられています。</v>
      </c>
      <c r="E38" t="str">
        <f>ref!$B$4&amp;ref!$B$5&amp;IFERROR(VLOOKUP(B38,[1]list!$A:$D,4,FALSE),"")</f>
        <v>/fs/lilietnene/c/hubsch</v>
      </c>
      <c r="F38" s="1" t="str">
        <f>IFERROR(VLOOKUP(B38,[1]list!$A:$E,5,FALSE),"")</f>
        <v>hubsch</v>
      </c>
      <c r="G38" t="str">
        <f t="shared" si="2"/>
        <v>HUBSCH ヒュプシュ</v>
      </c>
      <c r="H38" t="str">
        <f>SUBSTITUTE(IFERROR(VLOOKUP(B38,[1]list!$A:$U,21,FALSE),""),"0","")</f>
        <v>インテリア・ハウスウエア</v>
      </c>
      <c r="I38" t="str">
        <f>LOWER(TRIM(IFERROR(VLOOKUP(B38,[1]list!$A:$R,15,FALSE)&amp;" ","")&amp;IFERROR(VLOOKUP(B38,[1]list!$A:$R,16,FALSE)&amp;" ","")&amp;IFERROR(VLOOKUP(B38,[1]list!$A:$R,18,FALSE)&amp;" ","")&amp;IFERROR(VLOOKUP(B38,[1]list!$A:$S,19,FALSE)&amp;" ","")&amp;IFERROR(VLOOKUP(B38,[1]list!$A:$T,20,FALSE)&amp;" ","")))</f>
        <v>goods</v>
      </c>
      <c r="J38" t="str">
        <f>SUBSTITUTE(IFERROR(VLOOKUP(B38,[1]list!$A:$R,15,FALSE)&amp;" ","")," ","")</f>
        <v/>
      </c>
      <c r="K38" t="str">
        <f>SUBSTITUTE(IFERROR(VLOOKUP(B38,[1]list!$A:$R,16,FALSE)&amp;" ","")," ","")</f>
        <v/>
      </c>
      <c r="L38" t="str">
        <f>SUBSTITUTE(IFERROR(VLOOKUP(B38,[1]list!$A:$R,18,FALSE)&amp;" ","")," ","")</f>
        <v/>
      </c>
      <c r="M38" t="str">
        <f t="shared" si="3"/>
        <v>H</v>
      </c>
    </row>
    <row r="39" spans="1:13">
      <c r="A39">
        <v>37</v>
      </c>
      <c r="B39" t="s">
        <v>92</v>
      </c>
      <c r="C39" t="str">
        <f>IFERROR(VLOOKUP(B39,[1]list!$A:$B,2,FALSE),"")</f>
        <v>ヒューマノイド</v>
      </c>
      <c r="D39" t="str">
        <f>IFERROR(VLOOKUP(B39,[1]list!$A:$F,6,FALSE),"")</f>
        <v>1981年よりスタートしたオランダのブランド。シックなカラーリングと上質な素材感、またシンプルでありながらフェミニンな立体感のある独特なシルエットで、ヨーロッパの女性を魅了しています。</v>
      </c>
      <c r="E39" t="str">
        <f>ref!$B$4&amp;ref!$B$5&amp;IFERROR(VLOOKUP(B39,[1]list!$A:$D,4,FALSE),"")</f>
        <v>/fs/lilietnene/c/humanoid</v>
      </c>
      <c r="F39" s="1" t="str">
        <f>IFERROR(VLOOKUP(B39,[1]list!$A:$E,5,FALSE),"")</f>
        <v>humanoid</v>
      </c>
      <c r="G39" t="str">
        <f t="shared" si="2"/>
        <v>HUMANOID ヒューマノイド</v>
      </c>
      <c r="H39" t="str">
        <f>SUBSTITUTE(IFERROR(VLOOKUP(B39,[1]list!$A:$U,21,FALSE),""),"0","")</f>
        <v>ウエア</v>
      </c>
      <c r="I39" t="str">
        <f>LOWER(TRIM(IFERROR(VLOOKUP(B39,[1]list!$A:$R,15,FALSE)&amp;" ","")&amp;IFERROR(VLOOKUP(B39,[1]list!$A:$R,16,FALSE)&amp;" ","")&amp;IFERROR(VLOOKUP(B39,[1]list!$A:$R,18,FALSE)&amp;" ","")&amp;IFERROR(VLOOKUP(B39,[1]list!$A:$S,19,FALSE)&amp;" ","")&amp;IFERROR(VLOOKUP(B39,[1]list!$A:$T,20,FALSE)&amp;" ","")))</f>
        <v>woman</v>
      </c>
      <c r="J39" t="str">
        <f>SUBSTITUTE(IFERROR(VLOOKUP(B39,[1]list!$A:$R,15,FALSE)&amp;" ","")," ","")</f>
        <v/>
      </c>
      <c r="K39" t="str">
        <f>SUBSTITUTE(IFERROR(VLOOKUP(B39,[1]list!$A:$R,16,FALSE)&amp;" ","")," ","")</f>
        <v/>
      </c>
      <c r="L39" t="str">
        <f>SUBSTITUTE(IFERROR(VLOOKUP(B39,[1]list!$A:$R,18,FALSE)&amp;" ","")," ","")</f>
        <v>WOMAN</v>
      </c>
      <c r="M39" t="str">
        <f t="shared" si="3"/>
        <v>H</v>
      </c>
    </row>
    <row r="40" spans="1:13">
      <c r="A40">
        <v>38</v>
      </c>
      <c r="B40" t="s">
        <v>539</v>
      </c>
      <c r="C40" t="str">
        <f>IFERROR(VLOOKUP(B40,[1]list!$A:$B,2,FALSE),"")</f>
        <v>イリスハントバーク</v>
      </c>
      <c r="D40" t="str">
        <f>IFERROR(VLOOKUP(B40,[1]list!$A:$F,6,FALSE),"")</f>
        <v>100年以上の歴史をもつスウェーデンのメーカー、イリス・ハントバーク。職人のハンドメイドによるハイクオリティな製品は、国内で活躍する若手デザイナーを起用しているので伝統的でありながらモダンな北欧らしいデザインになっています。</v>
      </c>
      <c r="E40" t="str">
        <f>ref!$B$4&amp;ref!$B$5&amp;IFERROR(VLOOKUP(B40,[1]list!$A:$D,4,FALSE),"")</f>
        <v>/fs/lilietnene/c/irishantverk</v>
      </c>
      <c r="F40" s="1" t="str">
        <f>IFERROR(VLOOKUP(B40,[1]list!$A:$E,5,FALSE),"")</f>
        <v>irishantverk</v>
      </c>
      <c r="G40" t="str">
        <f t="shared" si="2"/>
        <v>IRIS HANTVERK イリスハントバーク</v>
      </c>
      <c r="H40" t="str">
        <f>SUBSTITUTE(IFERROR(VLOOKUP(B40,[1]list!$A:$U,21,FALSE),""),"0","")</f>
        <v>インテリア・ハウスウエア</v>
      </c>
      <c r="I40" t="str">
        <f>LOWER(TRIM(IFERROR(VLOOKUP(B40,[1]list!$A:$R,15,FALSE)&amp;" ","")&amp;IFERROR(VLOOKUP(B40,[1]list!$A:$R,16,FALSE)&amp;" ","")&amp;IFERROR(VLOOKUP(B40,[1]list!$A:$R,18,FALSE)&amp;" ","")&amp;IFERROR(VLOOKUP(B40,[1]list!$A:$S,19,FALSE)&amp;" ","")&amp;IFERROR(VLOOKUP(B40,[1]list!$A:$T,20,FALSE)&amp;" ","")))</f>
        <v>goods</v>
      </c>
      <c r="J40" t="str">
        <f>SUBSTITUTE(IFERROR(VLOOKUP(B40,[1]list!$A:$R,15,FALSE)&amp;" ","")," ","")</f>
        <v/>
      </c>
      <c r="K40" t="str">
        <f>SUBSTITUTE(IFERROR(VLOOKUP(B40,[1]list!$A:$R,16,FALSE)&amp;" ","")," ","")</f>
        <v/>
      </c>
      <c r="L40" t="str">
        <f>SUBSTITUTE(IFERROR(VLOOKUP(B40,[1]list!$A:$R,18,FALSE)&amp;" ","")," ","")</f>
        <v/>
      </c>
      <c r="M40" t="str">
        <f t="shared" si="3"/>
        <v>I</v>
      </c>
    </row>
    <row r="41" spans="1:13">
      <c r="A41">
        <v>39</v>
      </c>
      <c r="B41" t="s">
        <v>93</v>
      </c>
      <c r="C41" t="str">
        <f>IFERROR(VLOOKUP(B41,[1]list!$A:$B,2,FALSE),"")</f>
        <v>ジャマンピエッシュ</v>
      </c>
      <c r="D41" t="str">
        <f>IFERROR(VLOOKUP(B41,[1]list!$A:$F,6,FALSE),"")</f>
        <v>パリ在住のブノア・ジャマンとイザベル・マリー・ピュエッシュが手がけるブランド。従来、革小物には使用されたことのないオリジナルの素材、伝統に根差した職人芸とその生産方法を探求し、現代的な感覚でコレクションを発表しています。</v>
      </c>
      <c r="E41" t="str">
        <f>ref!$B$4&amp;ref!$B$5&amp;IFERROR(VLOOKUP(B41,[1]list!$A:$D,4,FALSE),"")</f>
        <v>/fs/lilietnene/c/jaminpuech</v>
      </c>
      <c r="F41" s="1" t="str">
        <f>IFERROR(VLOOKUP(B41,[1]list!$A:$E,5,FALSE),"")</f>
        <v>jaminpuech</v>
      </c>
      <c r="G41" t="str">
        <f t="shared" si="2"/>
        <v>JAMIN PUECH ジャマンピエッシュ</v>
      </c>
      <c r="H41" t="str">
        <f>SUBSTITUTE(IFERROR(VLOOKUP(B41,[1]list!$A:$U,21,FALSE),""),"0","")</f>
        <v>バッグ</v>
      </c>
      <c r="I41" t="str">
        <f>LOWER(TRIM(IFERROR(VLOOKUP(B41,[1]list!$A:$R,15,FALSE)&amp;" ","")&amp;IFERROR(VLOOKUP(B41,[1]list!$A:$R,16,FALSE)&amp;" ","")&amp;IFERROR(VLOOKUP(B41,[1]list!$A:$R,18,FALSE)&amp;" ","")&amp;IFERROR(VLOOKUP(B41,[1]list!$A:$S,19,FALSE)&amp;" ","")&amp;IFERROR(VLOOKUP(B41,[1]list!$A:$T,20,FALSE)&amp;" ","")))</f>
        <v>woman</v>
      </c>
      <c r="J41" t="str">
        <f>SUBSTITUTE(IFERROR(VLOOKUP(B41,[1]list!$A:$R,15,FALSE)&amp;" ","")," ","")</f>
        <v/>
      </c>
      <c r="K41" t="str">
        <f>SUBSTITUTE(IFERROR(VLOOKUP(B41,[1]list!$A:$R,16,FALSE)&amp;" ","")," ","")</f>
        <v/>
      </c>
      <c r="L41" t="str">
        <f>SUBSTITUTE(IFERROR(VLOOKUP(B41,[1]list!$A:$R,18,FALSE)&amp;" ","")," ","")</f>
        <v>WOMAN</v>
      </c>
      <c r="M41" t="str">
        <f t="shared" si="3"/>
        <v>J</v>
      </c>
    </row>
    <row r="42" spans="1:13">
      <c r="A42">
        <v>40</v>
      </c>
      <c r="B42" t="s">
        <v>543</v>
      </c>
      <c r="C42" t="str">
        <f>IFERROR(VLOOKUP(B42,[1]list!$A:$B,2,FALSE),"")</f>
        <v>カリスト</v>
      </c>
      <c r="D42" t="str">
        <f>IFERROR(VLOOKUP(B42,[1]list!$A:$F,6,FALSE),"")</f>
        <v>ベルリンの工房で作られるカリストのテディベアは、自然素材を用いてハンドメイドで丁寧に作られています。小さな工房ながら、1995年ヨーロッパ全土のぬいぐるみの品質検査コンペで１位を獲得。ヨーロッパが誇る指折りのぬいぐるみメーカー。</v>
      </c>
      <c r="E42" t="str">
        <f>ref!$B$4&amp;ref!$B$5&amp;IFERROR(VLOOKUP(B42,[1]list!$A:$D,4,FALSE),"")</f>
        <v>/fs/lilietnene/c/kallisto</v>
      </c>
      <c r="F42" s="1" t="str">
        <f>IFERROR(VLOOKUP(B42,[1]list!$A:$E,5,FALSE),"")</f>
        <v>kallisto</v>
      </c>
      <c r="G42" t="str">
        <f t="shared" si="2"/>
        <v>KALLISTO カリスト</v>
      </c>
      <c r="H42" t="str">
        <f>SUBSTITUTE(IFERROR(VLOOKUP(B42,[1]list!$A:$U,21,FALSE),""),"0","")</f>
        <v>玩具</v>
      </c>
      <c r="I42" t="str">
        <f>LOWER(TRIM(IFERROR(VLOOKUP(B42,[1]list!$A:$R,15,FALSE)&amp;" ","")&amp;IFERROR(VLOOKUP(B42,[1]list!$A:$R,16,FALSE)&amp;" ","")&amp;IFERROR(VLOOKUP(B42,[1]list!$A:$R,18,FALSE)&amp;" ","")&amp;IFERROR(VLOOKUP(B42,[1]list!$A:$S,19,FALSE)&amp;" ","")&amp;IFERROR(VLOOKUP(B42,[1]list!$A:$T,20,FALSE)&amp;" ","")))</f>
        <v>goods</v>
      </c>
      <c r="J42" t="str">
        <f>SUBSTITUTE(IFERROR(VLOOKUP(B42,[1]list!$A:$R,15,FALSE)&amp;" ","")," ","")</f>
        <v/>
      </c>
      <c r="K42" t="str">
        <f>SUBSTITUTE(IFERROR(VLOOKUP(B42,[1]list!$A:$R,16,FALSE)&amp;" ","")," ","")</f>
        <v/>
      </c>
      <c r="L42" t="str">
        <f>SUBSTITUTE(IFERROR(VLOOKUP(B42,[1]list!$A:$R,18,FALSE)&amp;" ","")," ","")</f>
        <v/>
      </c>
      <c r="M42" t="str">
        <f t="shared" si="3"/>
        <v>K</v>
      </c>
    </row>
    <row r="43" spans="1:13">
      <c r="A43">
        <v>41</v>
      </c>
      <c r="B43" t="s">
        <v>547</v>
      </c>
      <c r="C43" t="str">
        <f>IFERROR(VLOOKUP(B43,[1]list!$A:$B,2,FALSE),"")</f>
        <v>ケテクルーゼ</v>
      </c>
      <c r="D43" t="str">
        <f>IFERROR(VLOOKUP(B43,[1]list!$A:$F,6,FALSE),"")</f>
        <v>1910年、Kaethe Kruse夫人が手作りおもちゃ展に出品した人形が評判となり、ドイツの代表的人形としての地位を確立。『手のぬくもりは心に必ず通じるものであり、それが一番シンプルに形に表せるものして「人形」ほど説得力があるものは他にない』という夫人の信条は今も引き継がれています。</v>
      </c>
      <c r="E43" t="str">
        <f>ref!$B$4&amp;ref!$B$5&amp;IFERROR(VLOOKUP(B43,[1]list!$A:$D,4,FALSE),"")</f>
        <v>/fs/lilietnene/c/kathekruse</v>
      </c>
      <c r="F43" s="1" t="str">
        <f>IFERROR(VLOOKUP(B43,[1]list!$A:$E,5,FALSE),"")</f>
        <v>kathekruse</v>
      </c>
      <c r="G43" t="str">
        <f t="shared" si="2"/>
        <v>KATHE KRUSE ケテクルーゼ</v>
      </c>
      <c r="H43" t="str">
        <f>SUBSTITUTE(IFERROR(VLOOKUP(B43,[1]list!$A:$U,21,FALSE),""),"0","")</f>
        <v>玩具</v>
      </c>
      <c r="I43" t="str">
        <f>LOWER(TRIM(IFERROR(VLOOKUP(B43,[1]list!$A:$R,15,FALSE)&amp;" ","")&amp;IFERROR(VLOOKUP(B43,[1]list!$A:$R,16,FALSE)&amp;" ","")&amp;IFERROR(VLOOKUP(B43,[1]list!$A:$R,18,FALSE)&amp;" ","")&amp;IFERROR(VLOOKUP(B43,[1]list!$A:$S,19,FALSE)&amp;" ","")&amp;IFERROR(VLOOKUP(B43,[1]list!$A:$T,20,FALSE)&amp;" ","")))</f>
        <v>goods</v>
      </c>
      <c r="J43" t="str">
        <f>SUBSTITUTE(IFERROR(VLOOKUP(B43,[1]list!$A:$R,15,FALSE)&amp;" ","")," ","")</f>
        <v/>
      </c>
      <c r="K43" t="str">
        <f>SUBSTITUTE(IFERROR(VLOOKUP(B43,[1]list!$A:$R,16,FALSE)&amp;" ","")," ","")</f>
        <v/>
      </c>
      <c r="L43" t="str">
        <f>SUBSTITUTE(IFERROR(VLOOKUP(B43,[1]list!$A:$R,18,FALSE)&amp;" ","")," ","")</f>
        <v/>
      </c>
      <c r="M43" t="str">
        <f t="shared" si="3"/>
        <v>K</v>
      </c>
    </row>
    <row r="44" spans="1:13">
      <c r="A44">
        <v>42</v>
      </c>
      <c r="B44" t="s">
        <v>94</v>
      </c>
      <c r="C44" t="str">
        <f>IFERROR(VLOOKUP(B44,[1]list!$A:$B,2,FALSE),"")</f>
        <v>カディアンドコー</v>
      </c>
      <c r="D44" t="str">
        <f>IFERROR(VLOOKUP(B44,[1]list!$A:$F,6,FALSE),"")</f>
        <v>EPICEのデザイナーBessNielseが立ち上げたファブリックブランド。独特の風合いが美しいインド伝統の手紡ぎによる「カディー」を用いた、時間と共に美しさを増すハンドメイドならではのクオリティは、世界の高感度なセレブの間で静かな人気。</v>
      </c>
      <c r="E44" t="str">
        <f>ref!$B$4&amp;ref!$B$5&amp;IFERROR(VLOOKUP(B44,[1]list!$A:$D,4,FALSE),"")</f>
        <v>/fs/lilietnene/c/khadiandco</v>
      </c>
      <c r="F44" s="1" t="str">
        <f>IFERROR(VLOOKUP(B44,[1]list!$A:$E,5,FALSE),"")</f>
        <v>khadiandco</v>
      </c>
      <c r="G44" t="str">
        <f t="shared" si="2"/>
        <v>KHADI &amp; CO カディアンドコー</v>
      </c>
      <c r="H44" t="str">
        <f>SUBSTITUTE(IFERROR(VLOOKUP(B44,[1]list!$A:$U,21,FALSE),""),"0","")</f>
        <v>ファッション小物・グッズ</v>
      </c>
      <c r="I44" t="str">
        <f>LOWER(TRIM(IFERROR(VLOOKUP(B44,[1]list!$A:$R,15,FALSE)&amp;" ","")&amp;IFERROR(VLOOKUP(B44,[1]list!$A:$R,16,FALSE)&amp;" ","")&amp;IFERROR(VLOOKUP(B44,[1]list!$A:$R,18,FALSE)&amp;" ","")&amp;IFERROR(VLOOKUP(B44,[1]list!$A:$S,19,FALSE)&amp;" ","")&amp;IFERROR(VLOOKUP(B44,[1]list!$A:$T,20,FALSE)&amp;" ","")))</f>
        <v>woman goods</v>
      </c>
      <c r="J44" t="str">
        <f>SUBSTITUTE(IFERROR(VLOOKUP(B44,[1]list!$A:$R,15,FALSE)&amp;" ","")," ","")</f>
        <v/>
      </c>
      <c r="K44" t="str">
        <f>SUBSTITUTE(IFERROR(VLOOKUP(B44,[1]list!$A:$R,16,FALSE)&amp;" ","")," ","")</f>
        <v/>
      </c>
      <c r="L44" t="str">
        <f>SUBSTITUTE(IFERROR(VLOOKUP(B44,[1]list!$A:$R,18,FALSE)&amp;" ","")," ","")</f>
        <v>WOMAN</v>
      </c>
      <c r="M44" t="str">
        <f t="shared" si="3"/>
        <v>K</v>
      </c>
    </row>
    <row r="45" spans="1:13">
      <c r="A45">
        <v>43</v>
      </c>
      <c r="B45" t="s">
        <v>61</v>
      </c>
      <c r="C45" t="str">
        <f>IFERROR(VLOOKUP(B45,[1]list!$A:$B,2,FALSE),"")</f>
        <v>ケティケタ</v>
      </c>
      <c r="D45" t="str">
        <f>IFERROR(VLOOKUP(B45,[1]list!$A:$F,6,FALSE),"")</f>
        <v>ネパール語で女の子と男の子を意味するフランスのブランド、KETIKETA。ネパールの伝統的なテキスタイルや材料を使って、ベビー＆子供服や寝具、アクセサリーを作っています。</v>
      </c>
      <c r="E45" t="str">
        <f>ref!$B$4&amp;ref!$B$5&amp;IFERROR(VLOOKUP(B45,[1]list!$A:$D,4,FALSE),"")</f>
        <v>/fs/lilietnene/c/ketiketa</v>
      </c>
      <c r="F45" s="1" t="str">
        <f>IFERROR(VLOOKUP(B45,[1]list!$A:$E,5,FALSE),"")</f>
        <v>ketiketa</v>
      </c>
      <c r="G45" t="str">
        <f t="shared" si="2"/>
        <v>KETIKETA ケティケタ</v>
      </c>
      <c r="H45" t="str">
        <f>SUBSTITUTE(IFERROR(VLOOKUP(B45,[1]list!$A:$U,21,FALSE),""),"0","")</f>
        <v>ウエア・雑貨</v>
      </c>
      <c r="I45" t="str">
        <f>LOWER(TRIM(IFERROR(VLOOKUP(B45,[1]list!$A:$R,15,FALSE)&amp;" ","")&amp;IFERROR(VLOOKUP(B45,[1]list!$A:$R,16,FALSE)&amp;" ","")&amp;IFERROR(VLOOKUP(B45,[1]list!$A:$R,18,FALSE)&amp;" ","")&amp;IFERROR(VLOOKUP(B45,[1]list!$A:$S,19,FALSE)&amp;" ","")&amp;IFERROR(VLOOKUP(B45,[1]list!$A:$T,20,FALSE)&amp;" ","")))</f>
        <v>baby kids</v>
      </c>
      <c r="J45" t="str">
        <f>SUBSTITUTE(IFERROR(VLOOKUP(B45,[1]list!$A:$R,15,FALSE)&amp;" ","")," ","")</f>
        <v>BABY</v>
      </c>
      <c r="K45" t="str">
        <f>SUBSTITUTE(IFERROR(VLOOKUP(B45,[1]list!$A:$R,16,FALSE)&amp;" ","")," ","")</f>
        <v>KIDS</v>
      </c>
      <c r="L45" t="str">
        <f>SUBSTITUTE(IFERROR(VLOOKUP(B45,[1]list!$A:$R,18,FALSE)&amp;" ","")," ","")</f>
        <v/>
      </c>
      <c r="M45" t="str">
        <f t="shared" si="3"/>
        <v>K</v>
      </c>
    </row>
    <row r="46" spans="1:13">
      <c r="A46">
        <v>44</v>
      </c>
      <c r="B46" t="s">
        <v>550</v>
      </c>
      <c r="C46" t="str">
        <f>IFERROR(VLOOKUP(B46,[1]list!$A:$B,2,FALSE),"")</f>
        <v>キーナー</v>
      </c>
      <c r="D46" t="str">
        <f>IFERROR(VLOOKUP(B46,[1]list!$A:$F,6,FALSE),"")</f>
        <v>カトリン・キーナーが1973年にスイスで創業したおもちゃ作りの会社。チューリッヒ郊外にある木工所で手作りされたオモチャは、子どもたちの好きなのりものや動物、身近なものをモチーフに、素朴で温か味があり、今ではヨーロッパをはじめ世界中の子供たちに愛されています。</v>
      </c>
      <c r="E46" t="str">
        <f>ref!$B$4&amp;ref!$B$5&amp;IFERROR(VLOOKUP(B46,[1]list!$A:$D,4,FALSE),"")</f>
        <v>/fs/lilietnene/c/kiener</v>
      </c>
      <c r="F46" s="1" t="str">
        <f>IFERROR(VLOOKUP(B46,[1]list!$A:$E,5,FALSE),"")</f>
        <v>kiener</v>
      </c>
      <c r="G46" t="str">
        <f t="shared" si="2"/>
        <v>KIENER キーナー</v>
      </c>
      <c r="H46" t="str">
        <f>SUBSTITUTE(IFERROR(VLOOKUP(B46,[1]list!$A:$U,21,FALSE),""),"0","")</f>
        <v>玩具</v>
      </c>
      <c r="I46" t="str">
        <f>LOWER(TRIM(IFERROR(VLOOKUP(B46,[1]list!$A:$R,15,FALSE)&amp;" ","")&amp;IFERROR(VLOOKUP(B46,[1]list!$A:$R,16,FALSE)&amp;" ","")&amp;IFERROR(VLOOKUP(B46,[1]list!$A:$R,18,FALSE)&amp;" ","")&amp;IFERROR(VLOOKUP(B46,[1]list!$A:$S,19,FALSE)&amp;" ","")&amp;IFERROR(VLOOKUP(B46,[1]list!$A:$T,20,FALSE)&amp;" ","")))</f>
        <v>goods</v>
      </c>
      <c r="J46" t="str">
        <f>SUBSTITUTE(IFERROR(VLOOKUP(B46,[1]list!$A:$R,15,FALSE)&amp;" ","")," ","")</f>
        <v/>
      </c>
      <c r="K46" t="str">
        <f>SUBSTITUTE(IFERROR(VLOOKUP(B46,[1]list!$A:$R,16,FALSE)&amp;" ","")," ","")</f>
        <v/>
      </c>
      <c r="L46" t="str">
        <f>SUBSTITUTE(IFERROR(VLOOKUP(B46,[1]list!$A:$R,18,FALSE)&amp;" ","")," ","")</f>
        <v/>
      </c>
      <c r="M46" t="str">
        <f t="shared" si="3"/>
        <v>K</v>
      </c>
    </row>
    <row r="47" spans="1:13">
      <c r="A47">
        <v>45</v>
      </c>
      <c r="B47" t="s">
        <v>554</v>
      </c>
      <c r="C47" t="str">
        <f>IFERROR(VLOOKUP(B47,[1]list!$A:$B,2,FALSE),"")</f>
        <v>キコ</v>
      </c>
      <c r="D47" t="str">
        <f>IFERROR(VLOOKUP(B47,[1]list!$A:$F,6,FALSE),"")</f>
        <v>2011年１月 フランス パリで開催されたメゾン・エ・オブジェで発表しデビューした木製玩具やこども雑貨のブランドkiko+（キコ）。こどもたちの成長に合わせた、ゆたかな個性を育むユニークであたたかなおもちゃが特徴です。</v>
      </c>
      <c r="E47" t="str">
        <f>ref!$B$4&amp;ref!$B$5&amp;IFERROR(VLOOKUP(B47,[1]list!$A:$D,4,FALSE),"")</f>
        <v>/fs/lilietnene/c/kiko</v>
      </c>
      <c r="F47" s="1" t="str">
        <f>IFERROR(VLOOKUP(B47,[1]list!$A:$E,5,FALSE),"")</f>
        <v>kiko</v>
      </c>
      <c r="G47" t="str">
        <f t="shared" si="2"/>
        <v>KIKO+ キコ</v>
      </c>
      <c r="H47" t="str">
        <f>SUBSTITUTE(IFERROR(VLOOKUP(B47,[1]list!$A:$U,21,FALSE),""),"0","")</f>
        <v>玩具</v>
      </c>
      <c r="I47" t="str">
        <f>LOWER(TRIM(IFERROR(VLOOKUP(B47,[1]list!$A:$R,15,FALSE)&amp;" ","")&amp;IFERROR(VLOOKUP(B47,[1]list!$A:$R,16,FALSE)&amp;" ","")&amp;IFERROR(VLOOKUP(B47,[1]list!$A:$R,18,FALSE)&amp;" ","")&amp;IFERROR(VLOOKUP(B47,[1]list!$A:$S,19,FALSE)&amp;" ","")&amp;IFERROR(VLOOKUP(B47,[1]list!$A:$T,20,FALSE)&amp;" ","")))</f>
        <v>goods</v>
      </c>
      <c r="J47" t="str">
        <f>SUBSTITUTE(IFERROR(VLOOKUP(B47,[1]list!$A:$R,15,FALSE)&amp;" ","")," ","")</f>
        <v/>
      </c>
      <c r="K47" t="str">
        <f>SUBSTITUTE(IFERROR(VLOOKUP(B47,[1]list!$A:$R,16,FALSE)&amp;" ","")," ","")</f>
        <v/>
      </c>
      <c r="L47" t="str">
        <f>SUBSTITUTE(IFERROR(VLOOKUP(B47,[1]list!$A:$R,18,FALSE)&amp;" ","")," ","")</f>
        <v/>
      </c>
      <c r="M47" t="str">
        <f t="shared" si="3"/>
        <v>K</v>
      </c>
    </row>
    <row r="48" spans="1:13">
      <c r="A48">
        <v>46</v>
      </c>
      <c r="B48" t="s">
        <v>558</v>
      </c>
      <c r="C48" t="str">
        <f>IFERROR(VLOOKUP(B48,[1]list!$A:$B,2,FALSE),"")</f>
        <v>ケーセン</v>
      </c>
      <c r="D48" t="str">
        <f>IFERROR(VLOOKUP(B48,[1]list!$A:$F,6,FALSE),"")</f>
        <v>ドイツで一番美しい動物のぬいぐるみを作っていると言われるケーセン社は1912年に創業。実際の動物を描いたスケッチを元に型紙を制作し、１つ１つ手作りによって作られており、今や世界でもっとも注目されているぬいぐるみメーカーとして定評を得ています。</v>
      </c>
      <c r="E48" t="str">
        <f>ref!$B$4&amp;ref!$B$5&amp;IFERROR(VLOOKUP(B48,[1]list!$A:$D,4,FALSE),"")</f>
        <v>/fs/lilietnene/c/koesen</v>
      </c>
      <c r="F48" s="1" t="str">
        <f>IFERROR(VLOOKUP(B48,[1]list!$A:$E,5,FALSE),"")</f>
        <v>koesen</v>
      </c>
      <c r="G48" t="str">
        <f t="shared" si="2"/>
        <v>KOESEN ケーセン</v>
      </c>
      <c r="H48" t="str">
        <f>SUBSTITUTE(IFERROR(VLOOKUP(B48,[1]list!$A:$U,21,FALSE),""),"0","")</f>
        <v>玩具</v>
      </c>
      <c r="I48" t="str">
        <f>LOWER(TRIM(IFERROR(VLOOKUP(B48,[1]list!$A:$R,15,FALSE)&amp;" ","")&amp;IFERROR(VLOOKUP(B48,[1]list!$A:$R,16,FALSE)&amp;" ","")&amp;IFERROR(VLOOKUP(B48,[1]list!$A:$R,18,FALSE)&amp;" ","")&amp;IFERROR(VLOOKUP(B48,[1]list!$A:$S,19,FALSE)&amp;" ","")&amp;IFERROR(VLOOKUP(B48,[1]list!$A:$T,20,FALSE)&amp;" ","")))</f>
        <v>goods</v>
      </c>
      <c r="J48" t="str">
        <f>SUBSTITUTE(IFERROR(VLOOKUP(B48,[1]list!$A:$R,15,FALSE)&amp;" ","")," ","")</f>
        <v/>
      </c>
      <c r="K48" t="str">
        <f>SUBSTITUTE(IFERROR(VLOOKUP(B48,[1]list!$A:$R,16,FALSE)&amp;" ","")," ","")</f>
        <v/>
      </c>
      <c r="L48" t="str">
        <f>SUBSTITUTE(IFERROR(VLOOKUP(B48,[1]list!$A:$R,18,FALSE)&amp;" ","")," ","")</f>
        <v/>
      </c>
      <c r="M48" t="str">
        <f t="shared" si="3"/>
        <v>K</v>
      </c>
    </row>
    <row r="49" spans="1:13">
      <c r="A49">
        <v>47</v>
      </c>
      <c r="B49" t="s">
        <v>71</v>
      </c>
      <c r="C49" t="str">
        <f>IFERROR(VLOOKUP(B49,[1]list!$A:$B,2,FALSE),"")</f>
        <v>ラ・ボッテガ・ディ・ジョルジア</v>
      </c>
      <c r="D49" t="str">
        <f>IFERROR(VLOOKUP(B49,[1]list!$A:$F,6,FALSE),"")</f>
        <v>素材の質を大切にしたイタリアのブランド、「La Bottega di Giorgia（ラ・ボッテガ・ジョルジア）」。子供思いのデザイナーはさりげない遊び心も大切にしており、着心地とデザイン性を兼ね備えたアイテムが揃っています。</v>
      </c>
      <c r="E49" t="str">
        <f>ref!$B$4&amp;ref!$B$5&amp;IFERROR(VLOOKUP(B49,[1]list!$A:$D,4,FALSE),"")</f>
        <v>/fs/lilietnene/c/labottegadigiorgia</v>
      </c>
      <c r="F49" s="1" t="str">
        <f>IFERROR(VLOOKUP(B49,[1]list!$A:$E,5,FALSE),"")</f>
        <v>labottegadigiorgia</v>
      </c>
      <c r="G49" t="str">
        <f t="shared" si="2"/>
        <v>LA BOTTEGA DI GIORGIA ラ・ボッテガ・ディ・ジョルジア</v>
      </c>
      <c r="H49" t="str">
        <f>SUBSTITUTE(IFERROR(VLOOKUP(B49,[1]list!$A:$U,21,FALSE),""),"0","")</f>
        <v>ウエア</v>
      </c>
      <c r="I49" t="str">
        <f>LOWER(TRIM(IFERROR(VLOOKUP(B49,[1]list!$A:$R,15,FALSE)&amp;" ","")&amp;IFERROR(VLOOKUP(B49,[1]list!$A:$R,16,FALSE)&amp;" ","")&amp;IFERROR(VLOOKUP(B49,[1]list!$A:$R,18,FALSE)&amp;" ","")&amp;IFERROR(VLOOKUP(B49,[1]list!$A:$S,19,FALSE)&amp;" ","")&amp;IFERROR(VLOOKUP(B49,[1]list!$A:$T,20,FALSE)&amp;" ","")))</f>
        <v>kids</v>
      </c>
      <c r="J49" t="str">
        <f>SUBSTITUTE(IFERROR(VLOOKUP(B49,[1]list!$A:$R,15,FALSE)&amp;" ","")," ","")</f>
        <v/>
      </c>
      <c r="K49" t="str">
        <f>SUBSTITUTE(IFERROR(VLOOKUP(B49,[1]list!$A:$R,16,FALSE)&amp;" ","")," ","")</f>
        <v>KIDS</v>
      </c>
      <c r="L49" t="str">
        <f>SUBSTITUTE(IFERROR(VLOOKUP(B49,[1]list!$A:$R,18,FALSE)&amp;" ","")," ","")</f>
        <v/>
      </c>
      <c r="M49" t="str">
        <f t="shared" si="3"/>
        <v>L</v>
      </c>
    </row>
    <row r="50" spans="1:13">
      <c r="A50">
        <v>48</v>
      </c>
      <c r="B50" t="s">
        <v>562</v>
      </c>
      <c r="C50" t="str">
        <f>IFERROR(VLOOKUP(B50,[1]list!$A:$B,2,FALSE),"")</f>
        <v>ラスリーズスールガトー</v>
      </c>
      <c r="D50" t="str">
        <f>IFERROR(VLOOKUP(B50,[1]list!$A:$F,6,FALSE),"")</f>
        <v>2007年にアンヌ・ユベールによってスタートしたフランスのブランド。「LA CERISE SUR LE GATEAU」は「ケーキの上のさくらんぼ」という意味。クラシックなフランスのホームリネンを現代風にアレンジし、キュートでエスプリを効かせたデザインが人気。</v>
      </c>
      <c r="E50" t="str">
        <f>ref!$B$4&amp;ref!$B$5&amp;IFERROR(VLOOKUP(B50,[1]list!$A:$D,4,FALSE),"")</f>
        <v>/fs/lilietnene/c/lacerisesurlegateau</v>
      </c>
      <c r="F50" s="1" t="str">
        <f>IFERROR(VLOOKUP(B50,[1]list!$A:$E,5,FALSE),"")</f>
        <v>lacerisesurlegateau</v>
      </c>
      <c r="G50" t="str">
        <f t="shared" si="2"/>
        <v>LA CERISE SUR LE GATEAU ラスリーズスールガトー</v>
      </c>
      <c r="H50" t="str">
        <f>SUBSTITUTE(IFERROR(VLOOKUP(B50,[1]list!$A:$U,21,FALSE),""),"0","")</f>
        <v>インテリア/ハウスウエア</v>
      </c>
      <c r="I50" t="str">
        <f>LOWER(TRIM(IFERROR(VLOOKUP(B50,[1]list!$A:$R,15,FALSE)&amp;" ","")&amp;IFERROR(VLOOKUP(B50,[1]list!$A:$R,16,FALSE)&amp;" ","")&amp;IFERROR(VLOOKUP(B50,[1]list!$A:$R,18,FALSE)&amp;" ","")&amp;IFERROR(VLOOKUP(B50,[1]list!$A:$S,19,FALSE)&amp;" ","")&amp;IFERROR(VLOOKUP(B50,[1]list!$A:$T,20,FALSE)&amp;" ","")))</f>
        <v>goods</v>
      </c>
      <c r="J50" t="str">
        <f>SUBSTITUTE(IFERROR(VLOOKUP(B50,[1]list!$A:$R,15,FALSE)&amp;" ","")," ","")</f>
        <v/>
      </c>
      <c r="K50" t="str">
        <f>SUBSTITUTE(IFERROR(VLOOKUP(B50,[1]list!$A:$R,16,FALSE)&amp;" ","")," ","")</f>
        <v/>
      </c>
      <c r="L50" t="str">
        <f>SUBSTITUTE(IFERROR(VLOOKUP(B50,[1]list!$A:$R,18,FALSE)&amp;" ","")," ","")</f>
        <v/>
      </c>
      <c r="M50" t="str">
        <f t="shared" si="3"/>
        <v>L</v>
      </c>
    </row>
    <row r="51" spans="1:13">
      <c r="A51">
        <v>49</v>
      </c>
      <c r="B51" t="s">
        <v>72</v>
      </c>
      <c r="C51" t="str">
        <f>IFERROR(VLOOKUP(B51,[1]list!$A:$B,2,FALSE),"")</f>
        <v>ラベンハム</v>
      </c>
      <c r="D51" t="str">
        <f>IFERROR(VLOOKUP(B51,[1]list!$A:$F,6,FALSE),"")</f>
        <v>キルティングジャケットのラベンハムは1969年、ロンドン郊外の小さな町ラベンハムで乗馬用のライディングウェアとしてスタート。現在は世界中で高いデザイン性と安定した品質で高い評価を得ています。</v>
      </c>
      <c r="E51" t="str">
        <f>ref!$B$4&amp;ref!$B$5&amp;IFERROR(VLOOKUP(B51,[1]list!$A:$D,4,FALSE),"")</f>
        <v>/fs/lilietnene/c/lavenham</v>
      </c>
      <c r="F51" s="1" t="str">
        <f>IFERROR(VLOOKUP(B51,[1]list!$A:$E,5,FALSE),"")</f>
        <v>lavenham</v>
      </c>
      <c r="G51" t="str">
        <f t="shared" si="2"/>
        <v>LAVENHAM ラベンハム</v>
      </c>
      <c r="H51" t="str">
        <f>SUBSTITUTE(IFERROR(VLOOKUP(B51,[1]list!$A:$U,21,FALSE),""),"0","")</f>
        <v>ウエア</v>
      </c>
      <c r="I51" t="str">
        <f>LOWER(TRIM(IFERROR(VLOOKUP(B51,[1]list!$A:$R,15,FALSE)&amp;" ","")&amp;IFERROR(VLOOKUP(B51,[1]list!$A:$R,16,FALSE)&amp;" ","")&amp;IFERROR(VLOOKUP(B51,[1]list!$A:$R,18,FALSE)&amp;" ","")&amp;IFERROR(VLOOKUP(B51,[1]list!$A:$S,19,FALSE)&amp;" ","")&amp;IFERROR(VLOOKUP(B51,[1]list!$A:$T,20,FALSE)&amp;" ","")))</f>
        <v>kids woman</v>
      </c>
      <c r="J51" t="str">
        <f>SUBSTITUTE(IFERROR(VLOOKUP(B51,[1]list!$A:$R,15,FALSE)&amp;" ","")," ","")</f>
        <v/>
      </c>
      <c r="K51" t="str">
        <f>SUBSTITUTE(IFERROR(VLOOKUP(B51,[1]list!$A:$R,16,FALSE)&amp;" ","")," ","")</f>
        <v>KIDS</v>
      </c>
      <c r="L51" t="str">
        <f>SUBSTITUTE(IFERROR(VLOOKUP(B51,[1]list!$A:$R,18,FALSE)&amp;" ","")," ","")</f>
        <v>WOMAN</v>
      </c>
      <c r="M51" t="str">
        <f t="shared" si="3"/>
        <v>L</v>
      </c>
    </row>
    <row r="52" spans="1:13">
      <c r="A52">
        <v>50</v>
      </c>
      <c r="B52" t="s">
        <v>73</v>
      </c>
      <c r="C52" t="str">
        <f>IFERROR(VLOOKUP(B52,[1]list!$A:$B,2,FALSE),"")</f>
        <v>レコヨーテドゥパリ</v>
      </c>
      <c r="D52" t="str">
        <f>IFERROR(VLOOKUP(B52,[1]list!$A:$F,6,FALSE),"")</f>
        <v>LES COYOTES DE PARIS（レコヨーテドゥパリ）は、オランダのデザイナーMarieによって創業されたキッズ、レディースのブランド。60年代、70年代のノスタルジックな雰囲気とモダンなルックスを絶妙にミックスさせたデザインが特徴的。</v>
      </c>
      <c r="E52" t="str">
        <f>ref!$B$4&amp;ref!$B$5&amp;IFERROR(VLOOKUP(B52,[1]list!$A:$D,4,FALSE),"")</f>
        <v>/fs/lilietnene/c/lescoyotesdeparis</v>
      </c>
      <c r="F52" s="1" t="str">
        <f>IFERROR(VLOOKUP(B52,[1]list!$A:$E,5,FALSE),"")</f>
        <v>lescoyotesdeparis</v>
      </c>
      <c r="G52" t="str">
        <f t="shared" si="2"/>
        <v>LES COYOTES DE PARIS レコヨーテドゥパリ</v>
      </c>
      <c r="H52" t="str">
        <f>SUBSTITUTE(IFERROR(VLOOKUP(B52,[1]list!$A:$U,21,FALSE),""),"0","")</f>
        <v>ウエア</v>
      </c>
      <c r="I52" t="str">
        <f>LOWER(TRIM(IFERROR(VLOOKUP(B52,[1]list!$A:$R,15,FALSE)&amp;" ","")&amp;IFERROR(VLOOKUP(B52,[1]list!$A:$R,16,FALSE)&amp;" ","")&amp;IFERROR(VLOOKUP(B52,[1]list!$A:$R,18,FALSE)&amp;" ","")&amp;IFERROR(VLOOKUP(B52,[1]list!$A:$S,19,FALSE)&amp;" ","")&amp;IFERROR(VLOOKUP(B52,[1]list!$A:$T,20,FALSE)&amp;" ","")))</f>
        <v>kids woman</v>
      </c>
      <c r="J52" t="str">
        <f>SUBSTITUTE(IFERROR(VLOOKUP(B52,[1]list!$A:$R,15,FALSE)&amp;" ","")," ","")</f>
        <v/>
      </c>
      <c r="K52" t="str">
        <f>SUBSTITUTE(IFERROR(VLOOKUP(B52,[1]list!$A:$R,16,FALSE)&amp;" ","")," ","")</f>
        <v>KIDS</v>
      </c>
      <c r="L52" t="str">
        <f>SUBSTITUTE(IFERROR(VLOOKUP(B52,[1]list!$A:$R,18,FALSE)&amp;" ","")," ","")</f>
        <v>WOMAN</v>
      </c>
      <c r="M52" t="str">
        <f t="shared" si="3"/>
        <v>L</v>
      </c>
    </row>
    <row r="53" spans="1:13">
      <c r="A53">
        <v>51</v>
      </c>
      <c r="B53" t="s">
        <v>74</v>
      </c>
      <c r="C53" t="str">
        <f>IFERROR(VLOOKUP(B53,[1]list!$A:$B,2,FALSE),"")</f>
        <v>リバティ</v>
      </c>
      <c r="D53" t="str">
        <f>IFERROR(VLOOKUP(B53,[1]list!$A:$F,6,FALSE),"")</f>
        <v>華やかで伝統的、ファッショナブルなファブリックを生産し続けている英国リバティ。ベビー＆キッズのアパレルラインではタナローンの他コーデュロイやジャージなど様々な素材のシーズンファブリックを使用し、クラシカルなデザインを展開しています。</v>
      </c>
      <c r="E53" t="str">
        <f>ref!$B$4&amp;ref!$B$5&amp;IFERROR(VLOOKUP(B53,[1]list!$A:$D,4,FALSE),"")</f>
        <v>/fs/lilietnene/c/liberty</v>
      </c>
      <c r="F53" s="1" t="str">
        <f>IFERROR(VLOOKUP(B53,[1]list!$A:$E,5,FALSE),"")</f>
        <v>liberty</v>
      </c>
      <c r="G53" t="str">
        <f t="shared" si="2"/>
        <v>LIBERTY リバティ</v>
      </c>
      <c r="H53" t="str">
        <f>SUBSTITUTE(IFERROR(VLOOKUP(B53,[1]list!$A:$U,21,FALSE),""),"0","")</f>
        <v>ウエア</v>
      </c>
      <c r="I53" t="str">
        <f>LOWER(TRIM(IFERROR(VLOOKUP(B53,[1]list!$A:$R,15,FALSE)&amp;" ","")&amp;IFERROR(VLOOKUP(B53,[1]list!$A:$R,16,FALSE)&amp;" ","")&amp;IFERROR(VLOOKUP(B53,[1]list!$A:$R,18,FALSE)&amp;" ","")&amp;IFERROR(VLOOKUP(B53,[1]list!$A:$S,19,FALSE)&amp;" ","")&amp;IFERROR(VLOOKUP(B53,[1]list!$A:$T,20,FALSE)&amp;" ","")))</f>
        <v>kids</v>
      </c>
      <c r="J53" t="str">
        <f>SUBSTITUTE(IFERROR(VLOOKUP(B53,[1]list!$A:$R,15,FALSE)&amp;" ","")," ","")</f>
        <v/>
      </c>
      <c r="K53" t="str">
        <f>SUBSTITUTE(IFERROR(VLOOKUP(B53,[1]list!$A:$R,16,FALSE)&amp;" ","")," ","")</f>
        <v>KIDS</v>
      </c>
      <c r="L53" t="str">
        <f>SUBSTITUTE(IFERROR(VLOOKUP(B53,[1]list!$A:$R,18,FALSE)&amp;" ","")," ","")</f>
        <v/>
      </c>
      <c r="M53" t="str">
        <f t="shared" si="3"/>
        <v>L</v>
      </c>
    </row>
    <row r="54" spans="1:13">
      <c r="A54">
        <v>52</v>
      </c>
      <c r="B54" t="s">
        <v>565</v>
      </c>
      <c r="C54" t="str">
        <f>IFERROR(VLOOKUP(B54,[1]list!$A:$B,2,FALSE),"")</f>
        <v>リラ</v>
      </c>
      <c r="D54" t="str">
        <f>IFERROR(VLOOKUP(B54,[1]list!$A:$F,6,FALSE),"")</f>
        <v>創業200年の歴史を持つ鉛筆作りのマイスターです。現代教育学・人間工学に基づいて作られた丸みのある三角形の紺フォートグリップが特徴です。手の小さい方や左利きの方にはもちろんのこと、あらゆる方々に満足できる描き心地をお届けします。</v>
      </c>
      <c r="E54" t="str">
        <f>ref!$B$4&amp;ref!$B$5&amp;IFERROR(VLOOKUP(B54,[1]list!$A:$D,4,FALSE),"")</f>
        <v>/fs/lilietnene/c/lyra</v>
      </c>
      <c r="F54" s="1" t="str">
        <f>IFERROR(VLOOKUP(B54,[1]list!$A:$E,5,FALSE),"")</f>
        <v>lyra</v>
      </c>
      <c r="G54" t="str">
        <f t="shared" si="2"/>
        <v>LYRA リラ</v>
      </c>
      <c r="H54" t="str">
        <f>SUBSTITUTE(IFERROR(VLOOKUP(B54,[1]list!$A:$U,21,FALSE),""),"0","")</f>
        <v>ステーショナリー</v>
      </c>
      <c r="I54" t="str">
        <f>LOWER(TRIM(IFERROR(VLOOKUP(B54,[1]list!$A:$R,15,FALSE)&amp;" ","")&amp;IFERROR(VLOOKUP(B54,[1]list!$A:$R,16,FALSE)&amp;" ","")&amp;IFERROR(VLOOKUP(B54,[1]list!$A:$R,18,FALSE)&amp;" ","")&amp;IFERROR(VLOOKUP(B54,[1]list!$A:$S,19,FALSE)&amp;" ","")&amp;IFERROR(VLOOKUP(B54,[1]list!$A:$T,20,FALSE)&amp;" ","")))</f>
        <v>goods</v>
      </c>
      <c r="J54" t="str">
        <f>SUBSTITUTE(IFERROR(VLOOKUP(B54,[1]list!$A:$R,15,FALSE)&amp;" ","")," ","")</f>
        <v/>
      </c>
      <c r="K54" t="str">
        <f>SUBSTITUTE(IFERROR(VLOOKUP(B54,[1]list!$A:$R,16,FALSE)&amp;" ","")," ","")</f>
        <v/>
      </c>
      <c r="L54" t="str">
        <f>SUBSTITUTE(IFERROR(VLOOKUP(B54,[1]list!$A:$R,18,FALSE)&amp;" ","")," ","")</f>
        <v/>
      </c>
      <c r="M54" t="str">
        <f t="shared" si="3"/>
        <v>L</v>
      </c>
    </row>
    <row r="55" spans="1:13">
      <c r="A55">
        <v>53</v>
      </c>
      <c r="B55" t="s">
        <v>153</v>
      </c>
      <c r="C55" t="str">
        <f>IFERROR(VLOOKUP(B55,[1]list!$A:$B,2,FALSE),"")</f>
        <v>マコンレスコア</v>
      </c>
      <c r="D55" t="str">
        <f>IFERROR(VLOOKUP(B55,[1]list!$A:$F,6,FALSE),"")</f>
        <v>2人のフランス人デザイナーが手掛けるアクセサリーブランド。マコン&amp;レスコアの伝統的なヨーロッパの刺繍技術は、アーミーの勲章に使われていたもので職人技が光る逸品。ブローチなどのアクセサリーが揃います。</v>
      </c>
      <c r="E55" t="str">
        <f>ref!$B$4&amp;ref!$B$5&amp;IFERROR(VLOOKUP(B55,[1]list!$A:$D,4,FALSE),"")</f>
        <v>/fs/lilietnene/c/maconetlesquoy</v>
      </c>
      <c r="F55" s="1" t="str">
        <f>IFERROR(VLOOKUP(B55,[1]list!$A:$E,5,FALSE),"")</f>
        <v>maconetlesquoy</v>
      </c>
      <c r="G55" t="str">
        <f t="shared" si="2"/>
        <v>MACON ET LESQUOY マコンレスコア</v>
      </c>
      <c r="H55" t="str">
        <f>SUBSTITUTE(IFERROR(VLOOKUP(B55,[1]list!$A:$U,21,FALSE),""),"0","")</f>
        <v>アート・オブジェ</v>
      </c>
      <c r="I55" t="str">
        <f>LOWER(TRIM(IFERROR(VLOOKUP(B55,[1]list!$A:$R,15,FALSE)&amp;" ","")&amp;IFERROR(VLOOKUP(B55,[1]list!$A:$R,16,FALSE)&amp;" ","")&amp;IFERROR(VLOOKUP(B55,[1]list!$A:$R,18,FALSE)&amp;" ","")&amp;IFERROR(VLOOKUP(B55,[1]list!$A:$S,19,FALSE)&amp;" ","")&amp;IFERROR(VLOOKUP(B55,[1]list!$A:$T,20,FALSE)&amp;" ","")))</f>
        <v>goods</v>
      </c>
      <c r="J55" t="str">
        <f>SUBSTITUTE(IFERROR(VLOOKUP(B55,[1]list!$A:$R,15,FALSE)&amp;" ","")," ","")</f>
        <v/>
      </c>
      <c r="K55" t="str">
        <f>SUBSTITUTE(IFERROR(VLOOKUP(B55,[1]list!$A:$R,16,FALSE)&amp;" ","")," ","")</f>
        <v/>
      </c>
      <c r="L55" t="str">
        <f>SUBSTITUTE(IFERROR(VLOOKUP(B55,[1]list!$A:$R,18,FALSE)&amp;" ","")," ","")</f>
        <v/>
      </c>
      <c r="M55" t="str">
        <f t="shared" si="3"/>
        <v>M</v>
      </c>
    </row>
    <row r="56" spans="1:13">
      <c r="A56">
        <v>54</v>
      </c>
      <c r="B56" t="s">
        <v>95</v>
      </c>
      <c r="C56" t="str">
        <f>IFERROR(VLOOKUP(B56,[1]list!$A:$B,2,FALSE),"")</f>
        <v>マジェスティックフィラチュール</v>
      </c>
      <c r="D56" t="str">
        <f>IFERROR(VLOOKUP(B56,[1]list!$A:$F,6,FALSE),"")</f>
        <v>パリを拠点に展開するMAJESTICFILATUREは、糸から生地にして製品にするまでを自社で行うこだわりのブランド。素材の選択はもちろん、カシミアコットン、カシミアビスコースなど高品質な素材も使用するのが特徴で、着心地の優れたカットソーをメインに展開しています。</v>
      </c>
      <c r="E56" t="str">
        <f>ref!$B$4&amp;ref!$B$5&amp;IFERROR(VLOOKUP(B56,[1]list!$A:$D,4,FALSE),"")</f>
        <v>/fs/lilietnene/c/majesticfilatures</v>
      </c>
      <c r="F56" s="1" t="str">
        <f>IFERROR(VLOOKUP(B56,[1]list!$A:$E,5,FALSE),"")</f>
        <v>majesticfilatures</v>
      </c>
      <c r="G56" t="str">
        <f t="shared" si="2"/>
        <v>MAJESTIC FILATURES マジェスティックフィラチュール</v>
      </c>
      <c r="H56" t="str">
        <f>SUBSTITUTE(IFERROR(VLOOKUP(B56,[1]list!$A:$U,21,FALSE),""),"0","")</f>
        <v>ウエア</v>
      </c>
      <c r="I56" t="str">
        <f>LOWER(TRIM(IFERROR(VLOOKUP(B56,[1]list!$A:$R,15,FALSE)&amp;" ","")&amp;IFERROR(VLOOKUP(B56,[1]list!$A:$R,16,FALSE)&amp;" ","")&amp;IFERROR(VLOOKUP(B56,[1]list!$A:$R,18,FALSE)&amp;" ","")&amp;IFERROR(VLOOKUP(B56,[1]list!$A:$S,19,FALSE)&amp;" ","")&amp;IFERROR(VLOOKUP(B56,[1]list!$A:$T,20,FALSE)&amp;" ","")))</f>
        <v>woman</v>
      </c>
      <c r="J56" t="str">
        <f>SUBSTITUTE(IFERROR(VLOOKUP(B56,[1]list!$A:$R,15,FALSE)&amp;" ","")," ","")</f>
        <v/>
      </c>
      <c r="K56" t="str">
        <f>SUBSTITUTE(IFERROR(VLOOKUP(B56,[1]list!$A:$R,16,FALSE)&amp;" ","")," ","")</f>
        <v/>
      </c>
      <c r="L56" t="str">
        <f>SUBSTITUTE(IFERROR(VLOOKUP(B56,[1]list!$A:$R,18,FALSE)&amp;" ","")," ","")</f>
        <v>WOMAN</v>
      </c>
      <c r="M56" t="str">
        <f t="shared" si="3"/>
        <v>M</v>
      </c>
    </row>
    <row r="57" spans="1:13">
      <c r="A57">
        <v>55</v>
      </c>
      <c r="B57" t="s">
        <v>62</v>
      </c>
      <c r="C57" t="str">
        <f>IFERROR(VLOOKUP(B57,[1]list!$A:$B,2,FALSE),"")</f>
        <v>マキエ</v>
      </c>
      <c r="D57" t="str">
        <f>IFERROR(VLOOKUP(B57,[1]list!$A:$F,6,FALSE),"")</f>
        <v>MAKIEはニューヨークで人気の高いベビー・キッズ・レディースのブランドです。NYとヨーロッパのイメージをミックスしたような洗練された雰囲気がNYのみならず日本でも人気を集めています。</v>
      </c>
      <c r="E57" t="str">
        <f>ref!$B$4&amp;ref!$B$5&amp;IFERROR(VLOOKUP(B57,[1]list!$A:$D,4,FALSE),"")</f>
        <v>/fs/lilietnene/c/makie</v>
      </c>
      <c r="F57" s="1" t="str">
        <f>IFERROR(VLOOKUP(B57,[1]list!$A:$E,5,FALSE),"")</f>
        <v>makie</v>
      </c>
      <c r="G57" t="str">
        <f t="shared" si="2"/>
        <v>MAKIE マキエ</v>
      </c>
      <c r="H57" t="str">
        <f>SUBSTITUTE(IFERROR(VLOOKUP(B57,[1]list!$A:$U,21,FALSE),""),"0","")</f>
        <v>ウエア・雑貨</v>
      </c>
      <c r="I57" t="str">
        <f>LOWER(TRIM(IFERROR(VLOOKUP(B57,[1]list!$A:$R,15,FALSE)&amp;" ","")&amp;IFERROR(VLOOKUP(B57,[1]list!$A:$R,16,FALSE)&amp;" ","")&amp;IFERROR(VLOOKUP(B57,[1]list!$A:$R,18,FALSE)&amp;" ","")&amp;IFERROR(VLOOKUP(B57,[1]list!$A:$S,19,FALSE)&amp;" ","")&amp;IFERROR(VLOOKUP(B57,[1]list!$A:$T,20,FALSE)&amp;" ","")))</f>
        <v>baby kids woman</v>
      </c>
      <c r="J57" t="str">
        <f>SUBSTITUTE(IFERROR(VLOOKUP(B57,[1]list!$A:$R,15,FALSE)&amp;" ","")," ","")</f>
        <v>BABY</v>
      </c>
      <c r="K57" t="str">
        <f>SUBSTITUTE(IFERROR(VLOOKUP(B57,[1]list!$A:$R,16,FALSE)&amp;" ","")," ","")</f>
        <v>KIDS</v>
      </c>
      <c r="L57" t="str">
        <f>SUBSTITUTE(IFERROR(VLOOKUP(B57,[1]list!$A:$R,18,FALSE)&amp;" ","")," ","")</f>
        <v>WOMAN</v>
      </c>
      <c r="M57" t="str">
        <f t="shared" si="3"/>
        <v>M</v>
      </c>
    </row>
    <row r="58" spans="1:13">
      <c r="A58">
        <v>56</v>
      </c>
      <c r="B58" t="s">
        <v>96</v>
      </c>
      <c r="C58" t="str">
        <f>IFERROR(VLOOKUP(B58,[1]list!$A:$B,2,FALSE),"")</f>
        <v>マニュエルギバル</v>
      </c>
      <c r="D58" t="str">
        <f>IFERROR(VLOOKUP(B58,[1]list!$A:$F,6,FALSE),"")</f>
        <v>デザイナーでもありアーティストでもあるマニュエル・ギバルにより1991年にスタートしたブランド。パリのアトリエで生み出されるアイテムは、快適な着心地と素材にこだわり、着るひとの個性を惹きたたせるミニマルでモダンで女性らしいデザインが魅力的。</v>
      </c>
      <c r="E58" t="str">
        <f>ref!$B$4&amp;ref!$B$5&amp;IFERROR(VLOOKUP(B58,[1]list!$A:$D,4,FALSE),"")</f>
        <v>/fs/lilietnene/c/manuelleguibal</v>
      </c>
      <c r="F58" s="1" t="str">
        <f>IFERROR(VLOOKUP(B58,[1]list!$A:$E,5,FALSE),"")</f>
        <v>manuelleguibal</v>
      </c>
      <c r="G58" t="str">
        <f t="shared" si="2"/>
        <v>MANUELLE GUIBAL マニュエルギバル</v>
      </c>
      <c r="H58" t="str">
        <f>SUBSTITUTE(IFERROR(VLOOKUP(B58,[1]list!$A:$U,21,FALSE),""),"0","")</f>
        <v>ウエア</v>
      </c>
      <c r="I58" t="str">
        <f>LOWER(TRIM(IFERROR(VLOOKUP(B58,[1]list!$A:$R,15,FALSE)&amp;" ","")&amp;IFERROR(VLOOKUP(B58,[1]list!$A:$R,16,FALSE)&amp;" ","")&amp;IFERROR(VLOOKUP(B58,[1]list!$A:$R,18,FALSE)&amp;" ","")&amp;IFERROR(VLOOKUP(B58,[1]list!$A:$S,19,FALSE)&amp;" ","")&amp;IFERROR(VLOOKUP(B58,[1]list!$A:$T,20,FALSE)&amp;" ","")))</f>
        <v>woman</v>
      </c>
      <c r="J58" t="str">
        <f>SUBSTITUTE(IFERROR(VLOOKUP(B58,[1]list!$A:$R,15,FALSE)&amp;" ","")," ","")</f>
        <v/>
      </c>
      <c r="K58" t="str">
        <f>SUBSTITUTE(IFERROR(VLOOKUP(B58,[1]list!$A:$R,16,FALSE)&amp;" ","")," ","")</f>
        <v/>
      </c>
      <c r="L58" t="str">
        <f>SUBSTITUTE(IFERROR(VLOOKUP(B58,[1]list!$A:$R,18,FALSE)&amp;" ","")," ","")</f>
        <v>WOMAN</v>
      </c>
      <c r="M58" t="str">
        <f t="shared" si="3"/>
        <v>M</v>
      </c>
    </row>
    <row r="59" spans="1:13">
      <c r="A59">
        <v>57</v>
      </c>
      <c r="B59" t="s">
        <v>97</v>
      </c>
      <c r="C59" t="str">
        <f>IFERROR(VLOOKUP(B59,[1]list!$A:$B,2,FALSE),"")</f>
        <v>モーリスマニュファクチュール</v>
      </c>
      <c r="D59" t="str">
        <f>IFERROR(VLOOKUP(B59,[1]list!$A:$F,6,FALSE),"")</f>
        <v>1949年、フランスのショレでスタートしたファクトリーブランド。メイドインフランスであることに誇りを持ち、履き心地と上質な素材感、洗練された確かなものづくりにこだわった「NEWSTALGIQYE（新しいノスタルジア）」なシューズコレクションを展開しています。</v>
      </c>
      <c r="E59" t="str">
        <f>ref!$B$4&amp;ref!$B$5&amp;IFERROR(VLOOKUP(B59,[1]list!$A:$D,4,FALSE),"")</f>
        <v>/fs/lilietnene/c/mauricemanufacture</v>
      </c>
      <c r="F59" s="1" t="str">
        <f>IFERROR(VLOOKUP(B59,[1]list!$A:$E,5,FALSE),"")</f>
        <v>mauricemanufacture</v>
      </c>
      <c r="G59" t="str">
        <f t="shared" si="2"/>
        <v>MAURICE MANUFACTURE モーリスマニュファクチュール</v>
      </c>
      <c r="H59" t="str">
        <f>SUBSTITUTE(IFERROR(VLOOKUP(B59,[1]list!$A:$U,21,FALSE),""),"0","")</f>
        <v>シューズ</v>
      </c>
      <c r="I59" t="str">
        <f>LOWER(TRIM(IFERROR(VLOOKUP(B59,[1]list!$A:$R,15,FALSE)&amp;" ","")&amp;IFERROR(VLOOKUP(B59,[1]list!$A:$R,16,FALSE)&amp;" ","")&amp;IFERROR(VLOOKUP(B59,[1]list!$A:$R,18,FALSE)&amp;" ","")&amp;IFERROR(VLOOKUP(B59,[1]list!$A:$S,19,FALSE)&amp;" ","")&amp;IFERROR(VLOOKUP(B59,[1]list!$A:$T,20,FALSE)&amp;" ","")))</f>
        <v>woman</v>
      </c>
      <c r="J59" t="str">
        <f>SUBSTITUTE(IFERROR(VLOOKUP(B59,[1]list!$A:$R,15,FALSE)&amp;" ","")," ","")</f>
        <v/>
      </c>
      <c r="K59" t="str">
        <f>SUBSTITUTE(IFERROR(VLOOKUP(B59,[1]list!$A:$R,16,FALSE)&amp;" ","")," ","")</f>
        <v/>
      </c>
      <c r="L59" t="str">
        <f>SUBSTITUTE(IFERROR(VLOOKUP(B59,[1]list!$A:$R,18,FALSE)&amp;" ","")," ","")</f>
        <v>WOMAN</v>
      </c>
      <c r="M59" t="str">
        <f t="shared" si="3"/>
        <v>M</v>
      </c>
    </row>
    <row r="60" spans="1:13">
      <c r="A60">
        <v>58</v>
      </c>
      <c r="B60" t="s">
        <v>98</v>
      </c>
      <c r="C60" t="str">
        <f>IFERROR(VLOOKUP(B60,[1]list!$A:$B,2,FALSE),"")</f>
        <v>メデュース</v>
      </c>
      <c r="D60" t="str">
        <f>IFERROR(VLOOKUP(B60,[1]list!$A:$F,6,FALSE),"")</f>
        <v>フランスの老舗シューズファクトリーUMO（ウモ）のフェミニンライン「MEDUSE」。MADE IN FRANCEのデザインとクオリティでヨーロッパ各国で愛されているブランドです。ラバー素材をオシャレに楽しくというコンセプトのもと、シンプルで合わせやすいアイテムを提案しています。</v>
      </c>
      <c r="E60" t="str">
        <f>ref!$B$4&amp;ref!$B$5&amp;IFERROR(VLOOKUP(B60,[1]list!$A:$D,4,FALSE),"")</f>
        <v>/fs/lilietnene/c/meduse</v>
      </c>
      <c r="F60" s="1" t="str">
        <f>IFERROR(VLOOKUP(B60,[1]list!$A:$E,5,FALSE),"")</f>
        <v>meduse</v>
      </c>
      <c r="G60" t="str">
        <f t="shared" si="2"/>
        <v>MEDUSE メデュース</v>
      </c>
      <c r="H60" t="str">
        <f>SUBSTITUTE(IFERROR(VLOOKUP(B60,[1]list!$A:$U,21,FALSE),""),"0","")</f>
        <v>シューズ</v>
      </c>
      <c r="I60" t="str">
        <f>LOWER(TRIM(IFERROR(VLOOKUP(B60,[1]list!$A:$R,15,FALSE)&amp;" ","")&amp;IFERROR(VLOOKUP(B60,[1]list!$A:$R,16,FALSE)&amp;" ","")&amp;IFERROR(VLOOKUP(B60,[1]list!$A:$R,18,FALSE)&amp;" ","")&amp;IFERROR(VLOOKUP(B60,[1]list!$A:$S,19,FALSE)&amp;" ","")&amp;IFERROR(VLOOKUP(B60,[1]list!$A:$T,20,FALSE)&amp;" ","")))</f>
        <v>woman</v>
      </c>
      <c r="J60" t="str">
        <f>SUBSTITUTE(IFERROR(VLOOKUP(B60,[1]list!$A:$R,15,FALSE)&amp;" ","")," ","")</f>
        <v/>
      </c>
      <c r="K60" t="str">
        <f>SUBSTITUTE(IFERROR(VLOOKUP(B60,[1]list!$A:$R,16,FALSE)&amp;" ","")," ","")</f>
        <v/>
      </c>
      <c r="L60" t="str">
        <f>SUBSTITUTE(IFERROR(VLOOKUP(B60,[1]list!$A:$R,18,FALSE)&amp;" ","")," ","")</f>
        <v>WOMAN</v>
      </c>
      <c r="M60" t="str">
        <f t="shared" si="3"/>
        <v>M</v>
      </c>
    </row>
    <row r="61" spans="1:13">
      <c r="A61">
        <v>59</v>
      </c>
      <c r="B61" t="s">
        <v>572</v>
      </c>
      <c r="C61" t="str">
        <f>IFERROR(VLOOKUP(B61,[1]list!$A:$B,2,FALSE),"")</f>
        <v>ミミルゥ</v>
      </c>
      <c r="D61" t="str">
        <f>IFERROR(VLOOKUP(B61,[1]list!$A:$F,6,FALSE),"")</f>
        <v>フランス・パリ発！お部屋を彩るウォールステッカーデザインMIMI´lou（ミミ・ルゥ） 。カラフルな色合いやキュートなデザインでパリでも人気です。 キッズルームだけではなくインテリアとしても楽しめます。</v>
      </c>
      <c r="E61" t="str">
        <f>ref!$B$4&amp;ref!$B$5&amp;IFERROR(VLOOKUP(B61,[1]list!$A:$D,4,FALSE),"")</f>
        <v>/fs/lilietnene/c/mimilou</v>
      </c>
      <c r="F61" s="1" t="str">
        <f>IFERROR(VLOOKUP(B61,[1]list!$A:$E,5,FALSE),"")</f>
        <v>mimilou</v>
      </c>
      <c r="G61" t="str">
        <f t="shared" si="2"/>
        <v>MIMI LOU ミミルゥ</v>
      </c>
      <c r="H61" t="str">
        <f>SUBSTITUTE(IFERROR(VLOOKUP(B61,[1]list!$A:$U,21,FALSE),""),"0","")</f>
        <v>インテリア・ハウスウエア</v>
      </c>
      <c r="I61" t="str">
        <f>LOWER(TRIM(IFERROR(VLOOKUP(B61,[1]list!$A:$R,15,FALSE)&amp;" ","")&amp;IFERROR(VLOOKUP(B61,[1]list!$A:$R,16,FALSE)&amp;" ","")&amp;IFERROR(VLOOKUP(B61,[1]list!$A:$R,18,FALSE)&amp;" ","")&amp;IFERROR(VLOOKUP(B61,[1]list!$A:$S,19,FALSE)&amp;" ","")&amp;IFERROR(VLOOKUP(B61,[1]list!$A:$T,20,FALSE)&amp;" ","")))</f>
        <v>goods</v>
      </c>
      <c r="J61" t="str">
        <f>SUBSTITUTE(IFERROR(VLOOKUP(B61,[1]list!$A:$R,15,FALSE)&amp;" ","")," ","")</f>
        <v/>
      </c>
      <c r="K61" t="str">
        <f>SUBSTITUTE(IFERROR(VLOOKUP(B61,[1]list!$A:$R,16,FALSE)&amp;" ","")," ","")</f>
        <v/>
      </c>
      <c r="L61" t="str">
        <f>SUBSTITUTE(IFERROR(VLOOKUP(B61,[1]list!$A:$R,18,FALSE)&amp;" ","")," ","")</f>
        <v/>
      </c>
      <c r="M61" t="str">
        <f t="shared" si="3"/>
        <v>M</v>
      </c>
    </row>
    <row r="62" spans="1:13">
      <c r="A62">
        <v>60</v>
      </c>
      <c r="B62" t="s">
        <v>63</v>
      </c>
      <c r="C62" t="str">
        <f>IFERROR(VLOOKUP(B62,[1]list!$A:$B,2,FALSE),"")</f>
        <v>ミナペルホネン</v>
      </c>
      <c r="D62" t="str">
        <f>IFERROR(VLOOKUP(B62,[1]list!$A:$F,6,FALSE),"")</f>
        <v>1995年、デザイナーである皆川明氏がスタートさせたブランド。リラックスできるシルエット、刺繍やオリジナルのファブリックが国内外で人気を集めています。ブランド名は「mina」は「私」、「perhonen」は「ちょうちょ」を意味しています。</v>
      </c>
      <c r="E62" t="str">
        <f>ref!$B$4&amp;ref!$B$5&amp;IFERROR(VLOOKUP(B62,[1]list!$A:$D,4,FALSE),"")</f>
        <v>/fs/lilietnene/c/minaperhonen</v>
      </c>
      <c r="F62" s="1" t="str">
        <f>IFERROR(VLOOKUP(B62,[1]list!$A:$E,5,FALSE),"")</f>
        <v>minaperhonen</v>
      </c>
      <c r="G62" t="str">
        <f t="shared" si="2"/>
        <v>MINA PERHONEN ミナペルホネン</v>
      </c>
      <c r="H62" t="str">
        <f>SUBSTITUTE(IFERROR(VLOOKUP(B62,[1]list!$A:$U,21,FALSE),""),"0","")</f>
        <v>ウエア・雑貨</v>
      </c>
      <c r="I62" t="str">
        <f>LOWER(TRIM(IFERROR(VLOOKUP(B62,[1]list!$A:$R,15,FALSE)&amp;" ","")&amp;IFERROR(VLOOKUP(B62,[1]list!$A:$R,16,FALSE)&amp;" ","")&amp;IFERROR(VLOOKUP(B62,[1]list!$A:$R,18,FALSE)&amp;" ","")&amp;IFERROR(VLOOKUP(B62,[1]list!$A:$S,19,FALSE)&amp;" ","")&amp;IFERROR(VLOOKUP(B62,[1]list!$A:$T,20,FALSE)&amp;" ","")))</f>
        <v>baby woman</v>
      </c>
      <c r="J62" t="str">
        <f>SUBSTITUTE(IFERROR(VLOOKUP(B62,[1]list!$A:$R,15,FALSE)&amp;" ","")," ","")</f>
        <v>BABY</v>
      </c>
      <c r="K62" t="str">
        <f>SUBSTITUTE(IFERROR(VLOOKUP(B62,[1]list!$A:$R,16,FALSE)&amp;" ","")," ","")</f>
        <v/>
      </c>
      <c r="L62" t="str">
        <f>SUBSTITUTE(IFERROR(VLOOKUP(B62,[1]list!$A:$R,18,FALSE)&amp;" ","")," ","")</f>
        <v>WOMAN</v>
      </c>
      <c r="M62" t="str">
        <f t="shared" si="3"/>
        <v>M</v>
      </c>
    </row>
    <row r="63" spans="1:13">
      <c r="A63">
        <v>61</v>
      </c>
      <c r="B63" t="s">
        <v>99</v>
      </c>
      <c r="C63" t="str">
        <f>IFERROR(VLOOKUP(B63,[1]list!$A:$B,2,FALSE),"")</f>
        <v>ミュールバウアー</v>
      </c>
      <c r="D63" t="str">
        <f>IFERROR(VLOOKUP(B63,[1]list!$A:$F,6,FALSE),"")</f>
        <v>1903年にオーストリア・ウィーンで創業された老舗帽子ブランドのMuhlbauer(ミュールバウアー)。オーストリアの伝統的なチロル帽をベースに、伝統と技術を守りながらも、モードとしてのデザイン性をプラスしたコレクションへと進化させています。</v>
      </c>
      <c r="E63" t="str">
        <f>ref!$B$4&amp;ref!$B$5&amp;IFERROR(VLOOKUP(B63,[1]list!$A:$D,4,FALSE),"")</f>
        <v>/fs/lilietnene/c/muhlbauer</v>
      </c>
      <c r="F63" s="1" t="str">
        <f>IFERROR(VLOOKUP(B63,[1]list!$A:$E,5,FALSE),"")</f>
        <v>muhlbauer</v>
      </c>
      <c r="G63" t="str">
        <f t="shared" ref="G63:G92" si="4">B63&amp;" "&amp;C63</f>
        <v>MUHLBAUER ミュールバウアー</v>
      </c>
      <c r="H63" t="str">
        <f>SUBSTITUTE(IFERROR(VLOOKUP(B63,[1]list!$A:$U,21,FALSE),""),"0","")</f>
        <v>ハット</v>
      </c>
      <c r="I63" t="str">
        <f>LOWER(TRIM(IFERROR(VLOOKUP(B63,[1]list!$A:$R,15,FALSE)&amp;" ","")&amp;IFERROR(VLOOKUP(B63,[1]list!$A:$R,16,FALSE)&amp;" ","")&amp;IFERROR(VLOOKUP(B63,[1]list!$A:$R,18,FALSE)&amp;" ","")&amp;IFERROR(VLOOKUP(B63,[1]list!$A:$S,19,FALSE)&amp;" ","")&amp;IFERROR(VLOOKUP(B63,[1]list!$A:$T,20,FALSE)&amp;" ","")))</f>
        <v>woman</v>
      </c>
      <c r="J63" t="str">
        <f>SUBSTITUTE(IFERROR(VLOOKUP(B63,[1]list!$A:$R,15,FALSE)&amp;" ","")," ","")</f>
        <v/>
      </c>
      <c r="K63" t="str">
        <f>SUBSTITUTE(IFERROR(VLOOKUP(B63,[1]list!$A:$R,16,FALSE)&amp;" ","")," ","")</f>
        <v/>
      </c>
      <c r="L63" t="str">
        <f>SUBSTITUTE(IFERROR(VLOOKUP(B63,[1]list!$A:$R,18,FALSE)&amp;" ","")," ","")</f>
        <v>WOMAN</v>
      </c>
      <c r="M63" t="str">
        <f t="shared" si="3"/>
        <v>M</v>
      </c>
    </row>
    <row r="64" spans="1:13">
      <c r="A64">
        <v>62</v>
      </c>
      <c r="B64" t="s">
        <v>576</v>
      </c>
      <c r="C64" t="str">
        <f>IFERROR(VLOOKUP(B64,[1]list!$A:$B,2,FALSE),"")</f>
        <v>ムスカン</v>
      </c>
      <c r="D64" t="str">
        <f>IFERROR(VLOOKUP(B64,[1]list!$A:$F,6,FALSE),"")</f>
        <v>MUSKHANE（ムスカン）は、ValerieとThierry夫妻がネパールのヒマラヤ地域の美しい自然や人々の素晴らしさに魅了されて立ち上げたブランド。パリのデザインと、ネパールのハンドメイド技術、カトマンズのオーガニック素材をマッチさせた、フェルトやカシミヤのアイテムがパリジェンヌの間で人気です。</v>
      </c>
      <c r="E64" t="str">
        <f>ref!$B$4&amp;ref!$B$5&amp;IFERROR(VLOOKUP(B64,[1]list!$A:$D,4,FALSE),"")</f>
        <v>/fs/lilietnene/c/muskhane</v>
      </c>
      <c r="F64" s="1" t="str">
        <f>IFERROR(VLOOKUP(B64,[1]list!$A:$E,5,FALSE),"")</f>
        <v>muskhane</v>
      </c>
      <c r="G64" t="str">
        <f t="shared" si="4"/>
        <v>MUSKHANE ムスカン</v>
      </c>
      <c r="H64" t="str">
        <f>SUBSTITUTE(IFERROR(VLOOKUP(B64,[1]list!$A:$U,21,FALSE),""),"0","")</f>
        <v>インテリア・ハウスウエア</v>
      </c>
      <c r="I64" t="str">
        <f>LOWER(TRIM(IFERROR(VLOOKUP(B64,[1]list!$A:$R,15,FALSE)&amp;" ","")&amp;IFERROR(VLOOKUP(B64,[1]list!$A:$R,16,FALSE)&amp;" ","")&amp;IFERROR(VLOOKUP(B64,[1]list!$A:$R,18,FALSE)&amp;" ","")&amp;IFERROR(VLOOKUP(B64,[1]list!$A:$S,19,FALSE)&amp;" ","")&amp;IFERROR(VLOOKUP(B64,[1]list!$A:$T,20,FALSE)&amp;" ","")))</f>
        <v>goods</v>
      </c>
      <c r="J64" t="str">
        <f>SUBSTITUTE(IFERROR(VLOOKUP(B64,[1]list!$A:$R,15,FALSE)&amp;" ","")," ","")</f>
        <v/>
      </c>
      <c r="K64" t="str">
        <f>SUBSTITUTE(IFERROR(VLOOKUP(B64,[1]list!$A:$R,16,FALSE)&amp;" ","")," ","")</f>
        <v/>
      </c>
      <c r="L64" t="str">
        <f>SUBSTITUTE(IFERROR(VLOOKUP(B64,[1]list!$A:$R,18,FALSE)&amp;" ","")," ","")</f>
        <v/>
      </c>
      <c r="M64" t="str">
        <f t="shared" ref="M64:M93" si="5">LEFT(B64,1)</f>
        <v>M</v>
      </c>
    </row>
    <row r="65" spans="1:13">
      <c r="A65">
        <v>63</v>
      </c>
      <c r="B65" t="s">
        <v>100</v>
      </c>
      <c r="C65" t="str">
        <f>IFERROR(VLOOKUP(B65,[1]list!$A:$B,2,FALSE),"")</f>
        <v>ムーニュ</v>
      </c>
      <c r="D65" t="str">
        <f>IFERROR(VLOOKUP(B65,[1]list!$A:$F,6,FALSE),"")</f>
        <v>ムーニュは、アフリカの言葉で「笑顔」を意味する、フランス人と日本人デザイナーによるブランド。天然素材のエレファントグラスを使用したカゴバッグは耐久性に優れ、染色に使用する材料はオーガニック素材を使用。洗練されたデザインと高品質な技術の絶妙なコラボレーションが魅力的です。</v>
      </c>
      <c r="E65" t="str">
        <f>ref!$B$4&amp;ref!$B$5&amp;IFERROR(VLOOKUP(B65,[1]list!$A:$D,4,FALSE),"")</f>
        <v>/fs/lilietnene/c/muun</v>
      </c>
      <c r="F65" s="1" t="str">
        <f>IFERROR(VLOOKUP(B65,[1]list!$A:$E,5,FALSE),"")</f>
        <v>muun</v>
      </c>
      <c r="G65" t="str">
        <f t="shared" si="4"/>
        <v>MUUN ムーニュ</v>
      </c>
      <c r="H65" t="str">
        <f>SUBSTITUTE(IFERROR(VLOOKUP(B65,[1]list!$A:$U,21,FALSE),""),"0","")</f>
        <v>バッグ</v>
      </c>
      <c r="I65" t="str">
        <f>LOWER(TRIM(IFERROR(VLOOKUP(B65,[1]list!$A:$R,15,FALSE)&amp;" ","")&amp;IFERROR(VLOOKUP(B65,[1]list!$A:$R,16,FALSE)&amp;" ","")&amp;IFERROR(VLOOKUP(B65,[1]list!$A:$R,18,FALSE)&amp;" ","")&amp;IFERROR(VLOOKUP(B65,[1]list!$A:$S,19,FALSE)&amp;" ","")&amp;IFERROR(VLOOKUP(B65,[1]list!$A:$T,20,FALSE)&amp;" ","")))</f>
        <v>woman</v>
      </c>
      <c r="J65" t="str">
        <f>SUBSTITUTE(IFERROR(VLOOKUP(B65,[1]list!$A:$R,15,FALSE)&amp;" ","")," ","")</f>
        <v/>
      </c>
      <c r="K65" t="str">
        <f>SUBSTITUTE(IFERROR(VLOOKUP(B65,[1]list!$A:$R,16,FALSE)&amp;" ","")," ","")</f>
        <v/>
      </c>
      <c r="L65" t="str">
        <f>SUBSTITUTE(IFERROR(VLOOKUP(B65,[1]list!$A:$R,18,FALSE)&amp;" ","")," ","")</f>
        <v>WOMAN</v>
      </c>
      <c r="M65" t="str">
        <f t="shared" si="5"/>
        <v>M</v>
      </c>
    </row>
    <row r="66" spans="1:13">
      <c r="A66">
        <v>64</v>
      </c>
      <c r="B66" t="s">
        <v>579</v>
      </c>
      <c r="C66" t="str">
        <f>IFERROR(VLOOKUP(B66,[1]list!$A:$B,2,FALSE),"")</f>
        <v>マイリトルデイ</v>
      </c>
      <c r="D66" t="str">
        <f>IFERROR(VLOOKUP(B66,[1]list!$A:$F,6,FALSE),"")</f>
        <v>個性的でキュートなキッズ向けのパーティグッズを扱うMY LITTLE DAY(マイリトルデイ)。</v>
      </c>
      <c r="E66" t="str">
        <f>ref!$B$4&amp;ref!$B$5&amp;IFERROR(VLOOKUP(B66,[1]list!$A:$D,4,FALSE),"")</f>
        <v>/fs/lilietnene/c/mylittleday</v>
      </c>
      <c r="F66" s="1" t="str">
        <f>IFERROR(VLOOKUP(B66,[1]list!$A:$E,5,FALSE),"")</f>
        <v>mylittleday</v>
      </c>
      <c r="G66" t="str">
        <f t="shared" si="4"/>
        <v>MY LITTLE DAY マイリトルデイ</v>
      </c>
      <c r="H66" t="str">
        <f>SUBSTITUTE(IFERROR(VLOOKUP(B66,[1]list!$A:$U,21,FALSE),""),"0","")</f>
        <v>キッズ雑貨</v>
      </c>
      <c r="I66" t="str">
        <f>LOWER(TRIM(IFERROR(VLOOKUP(B66,[1]list!$A:$R,15,FALSE)&amp;" ","")&amp;IFERROR(VLOOKUP(B66,[1]list!$A:$R,16,FALSE)&amp;" ","")&amp;IFERROR(VLOOKUP(B66,[1]list!$A:$R,18,FALSE)&amp;" ","")&amp;IFERROR(VLOOKUP(B66,[1]list!$A:$S,19,FALSE)&amp;" ","")&amp;IFERROR(VLOOKUP(B66,[1]list!$A:$T,20,FALSE)&amp;" ","")))</f>
        <v>goods</v>
      </c>
      <c r="J66" t="str">
        <f>SUBSTITUTE(IFERROR(VLOOKUP(B66,[1]list!$A:$R,15,FALSE)&amp;" ","")," ","")</f>
        <v/>
      </c>
      <c r="K66" t="str">
        <f>SUBSTITUTE(IFERROR(VLOOKUP(B66,[1]list!$A:$R,16,FALSE)&amp;" ","")," ","")</f>
        <v/>
      </c>
      <c r="L66" t="str">
        <f>SUBSTITUTE(IFERROR(VLOOKUP(B66,[1]list!$A:$R,18,FALSE)&amp;" ","")," ","")</f>
        <v/>
      </c>
      <c r="M66" t="str">
        <f t="shared" si="5"/>
        <v>M</v>
      </c>
    </row>
    <row r="67" spans="1:13">
      <c r="A67">
        <v>65</v>
      </c>
      <c r="B67" t="s">
        <v>140</v>
      </c>
      <c r="C67" t="str">
        <f>IFERROR(VLOOKUP(B67,[1]list!$A:$B,2,FALSE),"")</f>
        <v>ネフ</v>
      </c>
      <c r="D67" t="str">
        <f>IFERROR(VLOOKUP(B67,[1]list!$A:$F,6,FALSE),"")</f>
        <v>1958年、創業者であるクルト・ネフ氏がネフスピールを世に出し一躍有名に。子供が遊びながら感覚や想像力を学ぶことができる知育玩具として世界中から親しまれています。</v>
      </c>
      <c r="E67" t="str">
        <f>ref!$B$4&amp;ref!$B$5&amp;IFERROR(VLOOKUP(B67,[1]list!$A:$D,4,FALSE),"")</f>
        <v>/fs/lilietnene/c/naef</v>
      </c>
      <c r="F67" s="1" t="str">
        <f>IFERROR(VLOOKUP(B67,[1]list!$A:$E,5,FALSE),"")</f>
        <v>naef</v>
      </c>
      <c r="G67" t="str">
        <f t="shared" si="4"/>
        <v>NAEF ネフ</v>
      </c>
      <c r="H67" t="str">
        <f>SUBSTITUTE(IFERROR(VLOOKUP(B67,[1]list!$A:$U,21,FALSE),""),"0","")</f>
        <v>玩具</v>
      </c>
      <c r="I67" t="str">
        <f>LOWER(TRIM(IFERROR(VLOOKUP(B67,[1]list!$A:$R,15,FALSE)&amp;" ","")&amp;IFERROR(VLOOKUP(B67,[1]list!$A:$R,16,FALSE)&amp;" ","")&amp;IFERROR(VLOOKUP(B67,[1]list!$A:$R,18,FALSE)&amp;" ","")&amp;IFERROR(VLOOKUP(B67,[1]list!$A:$S,19,FALSE)&amp;" ","")&amp;IFERROR(VLOOKUP(B67,[1]list!$A:$T,20,FALSE)&amp;" ","")))</f>
        <v>goods</v>
      </c>
      <c r="J67" t="str">
        <f>SUBSTITUTE(IFERROR(VLOOKUP(B67,[1]list!$A:$R,15,FALSE)&amp;" ","")," ","")</f>
        <v/>
      </c>
      <c r="K67" t="str">
        <f>SUBSTITUTE(IFERROR(VLOOKUP(B67,[1]list!$A:$R,16,FALSE)&amp;" ","")," ","")</f>
        <v/>
      </c>
      <c r="L67" t="str">
        <f>SUBSTITUTE(IFERROR(VLOOKUP(B67,[1]list!$A:$R,18,FALSE)&amp;" ","")," ","")</f>
        <v/>
      </c>
      <c r="M67" t="str">
        <f t="shared" si="5"/>
        <v>N</v>
      </c>
    </row>
    <row r="68" spans="1:13">
      <c r="A68">
        <v>66</v>
      </c>
      <c r="B68" t="s">
        <v>156</v>
      </c>
      <c r="C68" t="str">
        <f>IFERROR(VLOOKUP(B68,[1]list!$A:$B,2,FALSE),"")</f>
        <v>ナタリーレテ</v>
      </c>
      <c r="D68" t="str">
        <f>IFERROR(VLOOKUP(B68,[1]list!$A:$F,6,FALSE),"")</f>
        <v>1964年パリ生まれのイラストレーターナタリー・レテ。ユニークでカラフルな彼女の作品は、ヴィンテージトイから影響を受けているという懐かしい風合いのある作品は、絶賛を浴び、シャネルやラガーフェルトのショーウィンドウのディスプレイを手掛ける。</v>
      </c>
      <c r="E68" t="str">
        <f>ref!$B$4&amp;ref!$B$5&amp;IFERROR(VLOOKUP(B68,[1]list!$A:$D,4,FALSE),"")</f>
        <v>/fs/lilietnene/c/nathalielete</v>
      </c>
      <c r="F68" s="1" t="str">
        <f>IFERROR(VLOOKUP(B68,[1]list!$A:$E,5,FALSE),"")</f>
        <v>nathalielete</v>
      </c>
      <c r="G68" t="str">
        <f t="shared" si="4"/>
        <v>NATHALIE LETE ナタリーレテ</v>
      </c>
      <c r="H68" t="str">
        <f>SUBSTITUTE(IFERROR(VLOOKUP(B68,[1]list!$A:$U,21,FALSE),""),"0","")</f>
        <v>玩具</v>
      </c>
      <c r="I68" t="str">
        <f>LOWER(TRIM(IFERROR(VLOOKUP(B68,[1]list!$A:$R,15,FALSE)&amp;" ","")&amp;IFERROR(VLOOKUP(B68,[1]list!$A:$R,16,FALSE)&amp;" ","")&amp;IFERROR(VLOOKUP(B68,[1]list!$A:$R,18,FALSE)&amp;" ","")&amp;IFERROR(VLOOKUP(B68,[1]list!$A:$S,19,FALSE)&amp;" ","")&amp;IFERROR(VLOOKUP(B68,[1]list!$A:$T,20,FALSE)&amp;" ","")))</f>
        <v>goods</v>
      </c>
      <c r="J68" t="str">
        <f>SUBSTITUTE(IFERROR(VLOOKUP(B68,[1]list!$A:$R,15,FALSE)&amp;" ","")," ","")</f>
        <v/>
      </c>
      <c r="K68" t="str">
        <f>SUBSTITUTE(IFERROR(VLOOKUP(B68,[1]list!$A:$R,16,FALSE)&amp;" ","")," ","")</f>
        <v/>
      </c>
      <c r="L68" t="str">
        <f>SUBSTITUTE(IFERROR(VLOOKUP(B68,[1]list!$A:$R,18,FALSE)&amp;" ","")," ","")</f>
        <v/>
      </c>
      <c r="M68" t="str">
        <f t="shared" si="5"/>
        <v>N</v>
      </c>
    </row>
    <row r="69" spans="1:13">
      <c r="A69">
        <v>67</v>
      </c>
      <c r="B69" t="s">
        <v>75</v>
      </c>
      <c r="C69" t="str">
        <f>IFERROR(VLOOKUP(B69,[1]list!$A:$B,2,FALSE),"")</f>
        <v>ナタリーバーリンデン</v>
      </c>
      <c r="D69" t="str">
        <f>IFERROR(VLOOKUP(B69,[1]list!$A:$F,6,FALSE),"")</f>
        <v>1999年にスタートしたベルギーのシューズブランド。環境にやさしいナチュラルな素材にこだわり、SGラベル認証のケミカルフリーな皮革や染料を使用。丁寧に作られた足になじむ履き心地と、品よくノスタルジックなデザインが人気です。</v>
      </c>
      <c r="E69" t="str">
        <f>ref!$B$4&amp;ref!$B$5&amp;IFERROR(VLOOKUP(B69,[1]list!$A:$D,4,FALSE),"")</f>
        <v>/fs/lilietnene/c/nathalieverlinden</v>
      </c>
      <c r="F69" s="1" t="str">
        <f>IFERROR(VLOOKUP(B69,[1]list!$A:$E,5,FALSE),"")</f>
        <v>nathalieverlinden</v>
      </c>
      <c r="G69" t="str">
        <f t="shared" si="4"/>
        <v>NATHALIE VERLINDEN ナタリーバーリンデン</v>
      </c>
      <c r="H69" t="str">
        <f>SUBSTITUTE(IFERROR(VLOOKUP(B69,[1]list!$A:$U,21,FALSE),""),"0","")</f>
        <v>シューズ</v>
      </c>
      <c r="I69" t="str">
        <f>LOWER(TRIM(IFERROR(VLOOKUP(B69,[1]list!$A:$R,15,FALSE)&amp;" ","")&amp;IFERROR(VLOOKUP(B69,[1]list!$A:$R,16,FALSE)&amp;" ","")&amp;IFERROR(VLOOKUP(B69,[1]list!$A:$R,18,FALSE)&amp;" ","")&amp;IFERROR(VLOOKUP(B69,[1]list!$A:$S,19,FALSE)&amp;" ","")&amp;IFERROR(VLOOKUP(B69,[1]list!$A:$T,20,FALSE)&amp;" ","")))</f>
        <v>kids</v>
      </c>
      <c r="J69" t="str">
        <f>SUBSTITUTE(IFERROR(VLOOKUP(B69,[1]list!$A:$R,15,FALSE)&amp;" ","")," ","")</f>
        <v/>
      </c>
      <c r="K69" t="str">
        <f>SUBSTITUTE(IFERROR(VLOOKUP(B69,[1]list!$A:$R,16,FALSE)&amp;" ","")," ","")</f>
        <v>KIDS</v>
      </c>
      <c r="L69" t="str">
        <f>SUBSTITUTE(IFERROR(VLOOKUP(B69,[1]list!$A:$R,18,FALSE)&amp;" ","")," ","")</f>
        <v/>
      </c>
      <c r="M69" t="str">
        <f t="shared" si="5"/>
        <v>N</v>
      </c>
    </row>
    <row r="70" spans="1:13">
      <c r="A70">
        <v>68</v>
      </c>
      <c r="B70" t="s">
        <v>590</v>
      </c>
      <c r="C70" t="str">
        <f>IFERROR(VLOOKUP(B70,[1]list!$A:$B,2,FALSE),"")</f>
        <v>ニック</v>
      </c>
      <c r="D70" t="str">
        <f>IFERROR(VLOOKUP(B70,[1]list!$A:$F,6,FALSE),"")</f>
        <v>西ドイツ、オーバーシュバーベン地方の中心地、ライブハイムという街にあるニック社は、子ども達が繰返し長くよく遊べるように、創造性があることはもちろん、シンプルで堅牢な品質の高さに重きを置いた木製玩具を作っています。</v>
      </c>
      <c r="E70" t="str">
        <f>ref!$B$4&amp;ref!$B$5&amp;IFERROR(VLOOKUP(B70,[1]list!$A:$D,4,FALSE),"")</f>
        <v>/fs/lilietnene/c/nic</v>
      </c>
      <c r="F70" s="1" t="str">
        <f>IFERROR(VLOOKUP(B70,[1]list!$A:$E,5,FALSE),"")</f>
        <v>nic</v>
      </c>
      <c r="G70" t="str">
        <f t="shared" si="4"/>
        <v>NIC ニック</v>
      </c>
      <c r="H70" t="str">
        <f>SUBSTITUTE(IFERROR(VLOOKUP(B70,[1]list!$A:$U,21,FALSE),""),"0","")</f>
        <v>玩具</v>
      </c>
      <c r="I70" t="str">
        <f>LOWER(TRIM(IFERROR(VLOOKUP(B70,[1]list!$A:$R,15,FALSE)&amp;" ","")&amp;IFERROR(VLOOKUP(B70,[1]list!$A:$R,16,FALSE)&amp;" ","")&amp;IFERROR(VLOOKUP(B70,[1]list!$A:$R,18,FALSE)&amp;" ","")&amp;IFERROR(VLOOKUP(B70,[1]list!$A:$S,19,FALSE)&amp;" ","")&amp;IFERROR(VLOOKUP(B70,[1]list!$A:$T,20,FALSE)&amp;" ","")))</f>
        <v>goods</v>
      </c>
      <c r="J70" t="str">
        <f>SUBSTITUTE(IFERROR(VLOOKUP(B70,[1]list!$A:$R,15,FALSE)&amp;" ","")," ","")</f>
        <v/>
      </c>
      <c r="K70" t="str">
        <f>SUBSTITUTE(IFERROR(VLOOKUP(B70,[1]list!$A:$R,16,FALSE)&amp;" ","")," ","")</f>
        <v/>
      </c>
      <c r="L70" t="str">
        <f>SUBSTITUTE(IFERROR(VLOOKUP(B70,[1]list!$A:$R,18,FALSE)&amp;" ","")," ","")</f>
        <v/>
      </c>
      <c r="M70" t="str">
        <f t="shared" si="5"/>
        <v>N</v>
      </c>
    </row>
    <row r="71" spans="1:13">
      <c r="A71">
        <v>69</v>
      </c>
      <c r="B71" t="s">
        <v>76</v>
      </c>
      <c r="C71" t="str">
        <f>IFERROR(VLOOKUP(B71,[1]list!$A:$B,2,FALSE),"")</f>
        <v>ノーベンバー</v>
      </c>
      <c r="D71" t="str">
        <f>IFERROR(VLOOKUP(B71,[1]list!$A:$F,6,FALSE),"")</f>
        <v>2008年にスタートしたイタリアブランド。トレンドに左右されず、個性に合わせて組み合わせることができる、タイムレスなアイテムがコンセプト。こだわりのディティールや、洗練されたべーシックなデザインは、自分たちのスタイルを楽しめるハイセンスな人々へ向けたコレクションです。</v>
      </c>
      <c r="E71" t="str">
        <f>ref!$B$4&amp;ref!$B$5&amp;IFERROR(VLOOKUP(B71,[1]list!$A:$D,4,FALSE),"")</f>
        <v>/fs/lilietnene/c/novemb3r</v>
      </c>
      <c r="F71" s="1" t="str">
        <f>IFERROR(VLOOKUP(B71,[1]list!$A:$E,5,FALSE),"")</f>
        <v>novemb3r</v>
      </c>
      <c r="G71" t="str">
        <f t="shared" si="4"/>
        <v>NOVEMB3R ノーベンバー</v>
      </c>
      <c r="H71" t="str">
        <f>SUBSTITUTE(IFERROR(VLOOKUP(B71,[1]list!$A:$U,21,FALSE),""),"0","")</f>
        <v>ウエア</v>
      </c>
      <c r="I71" t="str">
        <f>LOWER(TRIM(IFERROR(VLOOKUP(B71,[1]list!$A:$R,15,FALSE)&amp;" ","")&amp;IFERROR(VLOOKUP(B71,[1]list!$A:$R,16,FALSE)&amp;" ","")&amp;IFERROR(VLOOKUP(B71,[1]list!$A:$R,18,FALSE)&amp;" ","")&amp;IFERROR(VLOOKUP(B71,[1]list!$A:$S,19,FALSE)&amp;" ","")&amp;IFERROR(VLOOKUP(B71,[1]list!$A:$T,20,FALSE)&amp;" ","")))</f>
        <v>kids woman</v>
      </c>
      <c r="J71" t="str">
        <f>SUBSTITUTE(IFERROR(VLOOKUP(B71,[1]list!$A:$R,15,FALSE)&amp;" ","")," ","")</f>
        <v/>
      </c>
      <c r="K71" t="str">
        <f>SUBSTITUTE(IFERROR(VLOOKUP(B71,[1]list!$A:$R,16,FALSE)&amp;" ","")," ","")</f>
        <v>KIDS</v>
      </c>
      <c r="L71" t="str">
        <f>SUBSTITUTE(IFERROR(VLOOKUP(B71,[1]list!$A:$R,18,FALSE)&amp;" ","")," ","")</f>
        <v>WOMAN</v>
      </c>
      <c r="M71" t="str">
        <f t="shared" si="5"/>
        <v>N</v>
      </c>
    </row>
    <row r="72" spans="1:13">
      <c r="A72">
        <v>70</v>
      </c>
      <c r="B72" t="s">
        <v>77</v>
      </c>
      <c r="C72" t="str">
        <f>IFERROR(VLOOKUP(B72,[1]list!$A:$B,2,FALSE),"")</f>
        <v>ノロ</v>
      </c>
      <c r="D72" t="str">
        <f>IFERROR(VLOOKUP(B72,[1]list!$A:$F,6,FALSE),"")</f>
        <v>パリを拠点とするブランド「NORO(ノロ)」。シンプルな可愛らしさのノスタルジックなデザインはコーディネートしやすく、洗練されたバランス感覚がパリらしいブランド。</v>
      </c>
      <c r="E72" t="str">
        <f>ref!$B$4&amp;ref!$B$5&amp;IFERROR(VLOOKUP(B72,[1]list!$A:$D,4,FALSE),"")</f>
        <v>/fs/lilietnene/c/noro</v>
      </c>
      <c r="F72" s="1" t="str">
        <f>IFERROR(VLOOKUP(B72,[1]list!$A:$E,5,FALSE),"")</f>
        <v>noro</v>
      </c>
      <c r="G72" t="str">
        <f t="shared" si="4"/>
        <v>NORO ノロ</v>
      </c>
      <c r="H72" t="str">
        <f>SUBSTITUTE(IFERROR(VLOOKUP(B72,[1]list!$A:$U,21,FALSE),""),"0","")</f>
        <v>ウエア</v>
      </c>
      <c r="I72" t="str">
        <f>LOWER(TRIM(IFERROR(VLOOKUP(B72,[1]list!$A:$R,15,FALSE)&amp;" ","")&amp;IFERROR(VLOOKUP(B72,[1]list!$A:$R,16,FALSE)&amp;" ","")&amp;IFERROR(VLOOKUP(B72,[1]list!$A:$R,18,FALSE)&amp;" ","")&amp;IFERROR(VLOOKUP(B72,[1]list!$A:$S,19,FALSE)&amp;" ","")&amp;IFERROR(VLOOKUP(B72,[1]list!$A:$T,20,FALSE)&amp;" ","")))</f>
        <v>kids</v>
      </c>
      <c r="J72" t="str">
        <f>SUBSTITUTE(IFERROR(VLOOKUP(B72,[1]list!$A:$R,15,FALSE)&amp;" ","")," ","")</f>
        <v/>
      </c>
      <c r="K72" t="str">
        <f>SUBSTITUTE(IFERROR(VLOOKUP(B72,[1]list!$A:$R,16,FALSE)&amp;" ","")," ","")</f>
        <v>KIDS</v>
      </c>
      <c r="L72" t="str">
        <f>SUBSTITUTE(IFERROR(VLOOKUP(B72,[1]list!$A:$R,18,FALSE)&amp;" ","")," ","")</f>
        <v/>
      </c>
      <c r="M72" t="str">
        <f t="shared" si="5"/>
        <v>N</v>
      </c>
    </row>
    <row r="73" spans="1:13">
      <c r="A73">
        <v>71</v>
      </c>
      <c r="B73" t="s">
        <v>593</v>
      </c>
      <c r="C73" t="str">
        <f>IFERROR(VLOOKUP(B73,[1]list!$A:$B,2,FALSE),"")</f>
        <v>ヌメロ</v>
      </c>
      <c r="D73" t="str">
        <f>IFERROR(VLOOKUP(B73,[1]list!$A:$F,6,FALSE),"")</f>
        <v>NUMERO74はイタリア人とフランス人のいとこ同士のデザイナーによるイタリアのハンドメイドテキスタイルを使ったブランド。日々の生活にポエティックなエッセンスを加え、子供時代の夢を思い起こさせるようなイマジネーションあふれるアイテムが特徴的。</v>
      </c>
      <c r="E73" t="str">
        <f>ref!$B$4&amp;ref!$B$5&amp;IFERROR(VLOOKUP(B73,[1]list!$A:$D,4,FALSE),"")</f>
        <v>/fs/lilietnene/c/numero74</v>
      </c>
      <c r="F73" s="1" t="str">
        <f>IFERROR(VLOOKUP(B73,[1]list!$A:$E,5,FALSE),"")</f>
        <v>numero74</v>
      </c>
      <c r="G73" t="str">
        <f t="shared" si="4"/>
        <v>NUMERO 74 ヌメロ</v>
      </c>
      <c r="H73" t="str">
        <f>SUBSTITUTE(IFERROR(VLOOKUP(B73,[1]list!$A:$U,21,FALSE),""),"0","")</f>
        <v>キッズ雑貨</v>
      </c>
      <c r="I73" t="str">
        <f>LOWER(TRIM(IFERROR(VLOOKUP(B73,[1]list!$A:$R,15,FALSE)&amp;" ","")&amp;IFERROR(VLOOKUP(B73,[1]list!$A:$R,16,FALSE)&amp;" ","")&amp;IFERROR(VLOOKUP(B73,[1]list!$A:$R,18,FALSE)&amp;" ","")&amp;IFERROR(VLOOKUP(B73,[1]list!$A:$S,19,FALSE)&amp;" ","")&amp;IFERROR(VLOOKUP(B73,[1]list!$A:$T,20,FALSE)&amp;" ","")))</f>
        <v>goods</v>
      </c>
      <c r="J73" t="str">
        <f>SUBSTITUTE(IFERROR(VLOOKUP(B73,[1]list!$A:$R,15,FALSE)&amp;" ","")," ","")</f>
        <v/>
      </c>
      <c r="K73" t="str">
        <f>SUBSTITUTE(IFERROR(VLOOKUP(B73,[1]list!$A:$R,16,FALSE)&amp;" ","")," ","")</f>
        <v/>
      </c>
      <c r="L73" t="str">
        <f>SUBSTITUTE(IFERROR(VLOOKUP(B73,[1]list!$A:$R,18,FALSE)&amp;" ","")," ","")</f>
        <v/>
      </c>
      <c r="M73" t="str">
        <f t="shared" si="5"/>
        <v>N</v>
      </c>
    </row>
    <row r="74" spans="1:13">
      <c r="A74">
        <v>72</v>
      </c>
      <c r="B74" t="s">
        <v>155</v>
      </c>
      <c r="C74" t="str">
        <f>IFERROR(VLOOKUP(B74,[1]list!$A:$B,2,FALSE),"")</f>
        <v>ウフ</v>
      </c>
      <c r="D74" t="str">
        <f>IFERROR(VLOOKUP(B74,[1]list!$A:$F,6,FALSE),"")</f>
        <v>N.Yのベビー・キッズブランドoeuf（ウフ）。「上質であること、実用的で機能的であること」を最優先に、シンプルでスタイリッシュ、そしてユーモアのあるアイテムが魅力のブランドです。</v>
      </c>
      <c r="E74" t="str">
        <f>ref!$B$4&amp;ref!$B$5&amp;IFERROR(VLOOKUP(B74,[1]list!$A:$D,4,FALSE),"")</f>
        <v>/fs/lilietnene/c/oeuf</v>
      </c>
      <c r="F74" s="1" t="str">
        <f>IFERROR(VLOOKUP(B74,[1]list!$A:$E,5,FALSE),"")</f>
        <v>oeuf</v>
      </c>
      <c r="G74" t="str">
        <f t="shared" si="4"/>
        <v>OEUF ウフ</v>
      </c>
      <c r="H74" t="str">
        <f>SUBSTITUTE(IFERROR(VLOOKUP(B74,[1]list!$A:$U,21,FALSE),""),"0","")</f>
        <v>キッズ雑貨</v>
      </c>
      <c r="I74" t="str">
        <f>LOWER(TRIM(IFERROR(VLOOKUP(B74,[1]list!$A:$R,15,FALSE)&amp;" ","")&amp;IFERROR(VLOOKUP(B74,[1]list!$A:$R,16,FALSE)&amp;" ","")&amp;IFERROR(VLOOKUP(B74,[1]list!$A:$R,18,FALSE)&amp;" ","")&amp;IFERROR(VLOOKUP(B74,[1]list!$A:$S,19,FALSE)&amp;" ","")&amp;IFERROR(VLOOKUP(B74,[1]list!$A:$T,20,FALSE)&amp;" ","")))</f>
        <v>goods</v>
      </c>
      <c r="J74" t="str">
        <f>SUBSTITUTE(IFERROR(VLOOKUP(B74,[1]list!$A:$R,15,FALSE)&amp;" ","")," ","")</f>
        <v/>
      </c>
      <c r="K74" t="str">
        <f>SUBSTITUTE(IFERROR(VLOOKUP(B74,[1]list!$A:$R,16,FALSE)&amp;" ","")," ","")</f>
        <v/>
      </c>
      <c r="L74" t="str">
        <f>SUBSTITUTE(IFERROR(VLOOKUP(B74,[1]list!$A:$R,18,FALSE)&amp;" ","")," ","")</f>
        <v/>
      </c>
      <c r="M74" t="str">
        <f t="shared" si="5"/>
        <v>O</v>
      </c>
    </row>
    <row r="75" spans="1:13">
      <c r="A75">
        <v>73</v>
      </c>
      <c r="B75" t="s">
        <v>64</v>
      </c>
      <c r="C75" t="str">
        <f>IFERROR(VLOOKUP(B75,[1]list!$A:$B,2,FALSE),"")</f>
        <v>ペペ</v>
      </c>
      <c r="D75" t="str">
        <f>IFERROR(VLOOKUP(B75,[1]list!$A:$F,6,FALSE),"")</f>
        <v>イタリアの老舗子供靴ブランドPEPE。洗練されたデザインと丁寧な縫製、品質でヨーロッパを中心に人気を集めています。</v>
      </c>
      <c r="E75" t="str">
        <f>ref!$B$4&amp;ref!$B$5&amp;IFERROR(VLOOKUP(B75,[1]list!$A:$D,4,FALSE),"")</f>
        <v>/fs/lilietnene/c/pepe</v>
      </c>
      <c r="F75" s="1" t="str">
        <f>IFERROR(VLOOKUP(B75,[1]list!$A:$E,5,FALSE),"")</f>
        <v>pepe</v>
      </c>
      <c r="G75" t="str">
        <f t="shared" si="4"/>
        <v>PEPE ペペ</v>
      </c>
      <c r="H75" t="str">
        <f>SUBSTITUTE(IFERROR(VLOOKUP(B75,[1]list!$A:$U,21,FALSE),""),"0","")</f>
        <v>シューズ</v>
      </c>
      <c r="I75" t="str">
        <f>LOWER(TRIM(IFERROR(VLOOKUP(B75,[1]list!$A:$R,15,FALSE)&amp;" ","")&amp;IFERROR(VLOOKUP(B75,[1]list!$A:$R,16,FALSE)&amp;" ","")&amp;IFERROR(VLOOKUP(B75,[1]list!$A:$R,18,FALSE)&amp;" ","")&amp;IFERROR(VLOOKUP(B75,[1]list!$A:$S,19,FALSE)&amp;" ","")&amp;IFERROR(VLOOKUP(B75,[1]list!$A:$T,20,FALSE)&amp;" ","")))</f>
        <v>baby kids woman</v>
      </c>
      <c r="J75" t="str">
        <f>SUBSTITUTE(IFERROR(VLOOKUP(B75,[1]list!$A:$R,15,FALSE)&amp;" ","")," ","")</f>
        <v>BABY</v>
      </c>
      <c r="K75" t="str">
        <f>SUBSTITUTE(IFERROR(VLOOKUP(B75,[1]list!$A:$R,16,FALSE)&amp;" ","")," ","")</f>
        <v>KIDS</v>
      </c>
      <c r="L75" t="str">
        <f>SUBSTITUTE(IFERROR(VLOOKUP(B75,[1]list!$A:$R,18,FALSE)&amp;" ","")," ","")</f>
        <v>WOMAN</v>
      </c>
      <c r="M75" t="str">
        <f t="shared" si="5"/>
        <v>P</v>
      </c>
    </row>
    <row r="76" spans="1:13">
      <c r="A76">
        <v>74</v>
      </c>
      <c r="B76" t="s">
        <v>65</v>
      </c>
      <c r="C76" t="str">
        <f>IFERROR(VLOOKUP(B76,[1]list!$A:$B,2,FALSE),"")</f>
        <v>プチバトー</v>
      </c>
      <c r="D76" t="str">
        <f>IFERROR(VLOOKUP(B76,[1]list!$A:$F,6,FALSE),"")</f>
        <v>子どもから大人まであらゆる世代に受け入れられているフランスの国民的ブランド、プチバトー。トレンドを程良く組み込んだシンプルなデザインはコーディネートを自由にお楽しみ頂けます。</v>
      </c>
      <c r="E76" t="str">
        <f>ref!$B$4&amp;ref!$B$5&amp;IFERROR(VLOOKUP(B76,[1]list!$A:$D,4,FALSE),"")</f>
        <v>/fs/lilietnene/c/petitbateau</v>
      </c>
      <c r="F76" s="1" t="str">
        <f>IFERROR(VLOOKUP(B76,[1]list!$A:$E,5,FALSE),"")</f>
        <v>petitbateau</v>
      </c>
      <c r="G76" t="str">
        <f t="shared" si="4"/>
        <v>PETIT BATEAU プチバトー</v>
      </c>
      <c r="H76" t="str">
        <f>SUBSTITUTE(IFERROR(VLOOKUP(B76,[1]list!$A:$U,21,FALSE),""),"0","")</f>
        <v>ウエア</v>
      </c>
      <c r="I76" t="str">
        <f>LOWER(TRIM(IFERROR(VLOOKUP(B76,[1]list!$A:$R,15,FALSE)&amp;" ","")&amp;IFERROR(VLOOKUP(B76,[1]list!$A:$R,16,FALSE)&amp;" ","")&amp;IFERROR(VLOOKUP(B76,[1]list!$A:$R,18,FALSE)&amp;" ","")&amp;IFERROR(VLOOKUP(B76,[1]list!$A:$S,19,FALSE)&amp;" ","")&amp;IFERROR(VLOOKUP(B76,[1]list!$A:$T,20,FALSE)&amp;" ","")))</f>
        <v>baby kids woman</v>
      </c>
      <c r="J76" t="str">
        <f>SUBSTITUTE(IFERROR(VLOOKUP(B76,[1]list!$A:$R,15,FALSE)&amp;" ","")," ","")</f>
        <v>BABY</v>
      </c>
      <c r="K76" t="str">
        <f>SUBSTITUTE(IFERROR(VLOOKUP(B76,[1]list!$A:$R,16,FALSE)&amp;" ","")," ","")</f>
        <v>KIDS</v>
      </c>
      <c r="L76" t="str">
        <f>SUBSTITUTE(IFERROR(VLOOKUP(B76,[1]list!$A:$R,18,FALSE)&amp;" ","")," ","")</f>
        <v>WOMAN</v>
      </c>
      <c r="M76" t="str">
        <f t="shared" si="5"/>
        <v>P</v>
      </c>
    </row>
    <row r="77" spans="1:13">
      <c r="A77">
        <v>75</v>
      </c>
      <c r="B77" t="s">
        <v>600</v>
      </c>
      <c r="C77" t="str">
        <f>IFERROR(VLOOKUP(B77,[1]list!$A:$B,2,FALSE),"")</f>
        <v>プチパン</v>
      </c>
      <c r="D77" t="str">
        <f>IFERROR(VLOOKUP(B77,[1]list!$A:$F,6,FALSE),"")</f>
        <v>アジアミックスのテキスタイルがパリで人気の「Petit pan」。 カラフルなインテリアグッズや子供服などポップでキュートなキッズアイテムを展開しています。</v>
      </c>
      <c r="E77" t="str">
        <f>ref!$B$4&amp;ref!$B$5&amp;IFERROR(VLOOKUP(B77,[1]list!$A:$D,4,FALSE),"")</f>
        <v>/fs/lilietnene/c/petitpan</v>
      </c>
      <c r="F77" s="1" t="str">
        <f>IFERROR(VLOOKUP(B77,[1]list!$A:$E,5,FALSE),"")</f>
        <v>petitpan</v>
      </c>
      <c r="G77" t="str">
        <f t="shared" si="4"/>
        <v>PETIT PAN プチパン</v>
      </c>
      <c r="H77" t="str">
        <f>SUBSTITUTE(IFERROR(VLOOKUP(B77,[1]list!$A:$U,21,FALSE),""),"0","")</f>
        <v>玩具</v>
      </c>
      <c r="I77" t="str">
        <f>LOWER(TRIM(IFERROR(VLOOKUP(B77,[1]list!$A:$R,15,FALSE)&amp;" ","")&amp;IFERROR(VLOOKUP(B77,[1]list!$A:$R,16,FALSE)&amp;" ","")&amp;IFERROR(VLOOKUP(B77,[1]list!$A:$R,18,FALSE)&amp;" ","")&amp;IFERROR(VLOOKUP(B77,[1]list!$A:$S,19,FALSE)&amp;" ","")&amp;IFERROR(VLOOKUP(B77,[1]list!$A:$T,20,FALSE)&amp;" ","")))</f>
        <v>goods</v>
      </c>
      <c r="J77" t="str">
        <f>SUBSTITUTE(IFERROR(VLOOKUP(B77,[1]list!$A:$R,15,FALSE)&amp;" ","")," ","")</f>
        <v/>
      </c>
      <c r="K77" t="str">
        <f>SUBSTITUTE(IFERROR(VLOOKUP(B77,[1]list!$A:$R,16,FALSE)&amp;" ","")," ","")</f>
        <v/>
      </c>
      <c r="L77" t="str">
        <f>SUBSTITUTE(IFERROR(VLOOKUP(B77,[1]list!$A:$R,18,FALSE)&amp;" ","")," ","")</f>
        <v/>
      </c>
      <c r="M77" t="str">
        <f t="shared" si="5"/>
        <v>P</v>
      </c>
    </row>
    <row r="78" spans="1:13">
      <c r="A78">
        <v>76</v>
      </c>
      <c r="B78" t="s">
        <v>101</v>
      </c>
      <c r="C78" t="str">
        <f>IFERROR(VLOOKUP(B78,[1]list!$A:$B,2,FALSE),"")</f>
        <v>ピップスクイークシャポー</v>
      </c>
      <c r="D78" t="str">
        <f>IFERROR(VLOOKUP(B78,[1]list!$A:$F,6,FALSE),"")</f>
        <v>100％天然素材のみを使用し、すべてNYのブルックリンにてハンドメイドで作り上げるこだわりのブランド。上質な素材のナチュラルな風合いが生かされたコレクションは、年齢を問わずに楽しめるアイテムが揃います。</v>
      </c>
      <c r="E78" t="str">
        <f>ref!$B$4&amp;ref!$B$5&amp;IFERROR(VLOOKUP(B78,[1]list!$A:$D,4,FALSE),"")</f>
        <v>/fs/lilietnene/c/pip-squeakchapeau</v>
      </c>
      <c r="F78" s="1" t="str">
        <f>IFERROR(VLOOKUP(B78,[1]list!$A:$E,5,FALSE),"")</f>
        <v>pip-squeakchapeau</v>
      </c>
      <c r="G78" t="str">
        <f t="shared" si="4"/>
        <v>PIP-SQUEAK CHAPEAU ピップスクイークシャポー</v>
      </c>
      <c r="H78" t="str">
        <f>SUBSTITUTE(IFERROR(VLOOKUP(B78,[1]list!$A:$U,21,FALSE),""),"0","")</f>
        <v>ウエア</v>
      </c>
      <c r="I78" t="str">
        <f>LOWER(TRIM(IFERROR(VLOOKUP(B78,[1]list!$A:$R,15,FALSE)&amp;" ","")&amp;IFERROR(VLOOKUP(B78,[1]list!$A:$R,16,FALSE)&amp;" ","")&amp;IFERROR(VLOOKUP(B78,[1]list!$A:$R,18,FALSE)&amp;" ","")&amp;IFERROR(VLOOKUP(B78,[1]list!$A:$S,19,FALSE)&amp;" ","")&amp;IFERROR(VLOOKUP(B78,[1]list!$A:$T,20,FALSE)&amp;" ","")))</f>
        <v>woman</v>
      </c>
      <c r="J78" t="str">
        <f>SUBSTITUTE(IFERROR(VLOOKUP(B78,[1]list!$A:$R,15,FALSE)&amp;" ","")," ","")</f>
        <v/>
      </c>
      <c r="K78" t="str">
        <f>SUBSTITUTE(IFERROR(VLOOKUP(B78,[1]list!$A:$R,16,FALSE)&amp;" ","")," ","")</f>
        <v/>
      </c>
      <c r="L78" t="str">
        <f>SUBSTITUTE(IFERROR(VLOOKUP(B78,[1]list!$A:$R,18,FALSE)&amp;" ","")," ","")</f>
        <v>WOMAN</v>
      </c>
      <c r="M78" t="str">
        <f t="shared" si="5"/>
        <v>P</v>
      </c>
    </row>
    <row r="79" spans="1:13">
      <c r="A79">
        <v>77</v>
      </c>
      <c r="B79" t="s">
        <v>78</v>
      </c>
      <c r="C79" t="str">
        <f>IFERROR(VLOOKUP(B79,[1]list!$A:$B,2,FALSE),"")</f>
        <v>ポルダー</v>
      </c>
      <c r="D79" t="str">
        <f>IFERROR(VLOOKUP(B79,[1]list!$A:$F,6,FALSE),"")</f>
        <v>マデロンとナタリー姉妹がエルメスを経て2000年にスタートしたブランド。スタイリッシュなアパレルアイテムや、さりげなく身に着けたい洗練されたデザインのアクセサリーが人気です。</v>
      </c>
      <c r="E79" t="str">
        <f>ref!$B$4&amp;ref!$B$5&amp;IFERROR(VLOOKUP(B79,[1]list!$A:$D,4,FALSE),"")</f>
        <v>/fs/lilietnene/c/polder</v>
      </c>
      <c r="F79" s="1" t="str">
        <f>IFERROR(VLOOKUP(B79,[1]list!$A:$E,5,FALSE),"")</f>
        <v>polder</v>
      </c>
      <c r="G79" t="str">
        <f t="shared" si="4"/>
        <v>POLDER ポルダー</v>
      </c>
      <c r="H79" t="str">
        <f>SUBSTITUTE(IFERROR(VLOOKUP(B79,[1]list!$A:$U,21,FALSE),""),"0","")</f>
        <v>ウエア・雑貨</v>
      </c>
      <c r="I79" t="str">
        <f>LOWER(TRIM(IFERROR(VLOOKUP(B79,[1]list!$A:$R,15,FALSE)&amp;" ","")&amp;IFERROR(VLOOKUP(B79,[1]list!$A:$R,16,FALSE)&amp;" ","")&amp;IFERROR(VLOOKUP(B79,[1]list!$A:$R,18,FALSE)&amp;" ","")&amp;IFERROR(VLOOKUP(B79,[1]list!$A:$S,19,FALSE)&amp;" ","")&amp;IFERROR(VLOOKUP(B79,[1]list!$A:$T,20,FALSE)&amp;" ","")))</f>
        <v>kids woman</v>
      </c>
      <c r="J79" t="str">
        <f>SUBSTITUTE(IFERROR(VLOOKUP(B79,[1]list!$A:$R,15,FALSE)&amp;" ","")," ","")</f>
        <v/>
      </c>
      <c r="K79" t="str">
        <f>SUBSTITUTE(IFERROR(VLOOKUP(B79,[1]list!$A:$R,16,FALSE)&amp;" ","")," ","")</f>
        <v>KIDS</v>
      </c>
      <c r="L79" t="str">
        <f>SUBSTITUTE(IFERROR(VLOOKUP(B79,[1]list!$A:$R,18,FALSE)&amp;" ","")," ","")</f>
        <v>WOMAN</v>
      </c>
      <c r="M79" t="str">
        <f t="shared" si="5"/>
        <v>P</v>
      </c>
    </row>
    <row r="80" spans="1:13">
      <c r="A80">
        <v>78</v>
      </c>
      <c r="B80" t="s">
        <v>102</v>
      </c>
      <c r="C80" t="str">
        <f>IFERROR(VLOOKUP(B80,[1]list!$A:$B,2,FALSE),"")</f>
        <v>ポルセリ</v>
      </c>
      <c r="D80" t="str">
        <f>IFERROR(VLOOKUP(B80,[1]list!$A:$F,6,FALSE),"")</f>
        <v>PORSELLI（ポルセリ）はイタリア・ミラノの老舗バレエ用品ブランド。上質な革を使い、伝統の製法を受け継いだ熟練の職人の手で丁寧に作り上げられる、やわらかな履き心地のシューズは世界中で愛されています。</v>
      </c>
      <c r="E80" t="str">
        <f>ref!$B$4&amp;ref!$B$5&amp;IFERROR(VLOOKUP(B80,[1]list!$A:$D,4,FALSE),"")</f>
        <v>/fs/lilietnene/c/porselli</v>
      </c>
      <c r="F80" s="1" t="str">
        <f>IFERROR(VLOOKUP(B80,[1]list!$A:$E,5,FALSE),"")</f>
        <v>porselli</v>
      </c>
      <c r="G80" t="str">
        <f t="shared" si="4"/>
        <v>PORSELLI ポルセリ</v>
      </c>
      <c r="H80" t="str">
        <f>SUBSTITUTE(IFERROR(VLOOKUP(B80,[1]list!$A:$U,21,FALSE),""),"0","")</f>
        <v>シューズ</v>
      </c>
      <c r="I80" t="str">
        <f>LOWER(TRIM(IFERROR(VLOOKUP(B80,[1]list!$A:$R,15,FALSE)&amp;" ","")&amp;IFERROR(VLOOKUP(B80,[1]list!$A:$R,16,FALSE)&amp;" ","")&amp;IFERROR(VLOOKUP(B80,[1]list!$A:$R,18,FALSE)&amp;" ","")&amp;IFERROR(VLOOKUP(B80,[1]list!$A:$S,19,FALSE)&amp;" ","")&amp;IFERROR(VLOOKUP(B80,[1]list!$A:$T,20,FALSE)&amp;" ","")))</f>
        <v>woman</v>
      </c>
      <c r="J80" t="str">
        <f>SUBSTITUTE(IFERROR(VLOOKUP(B80,[1]list!$A:$R,15,FALSE)&amp;" ","")," ","")</f>
        <v/>
      </c>
      <c r="K80" t="str">
        <f>SUBSTITUTE(IFERROR(VLOOKUP(B80,[1]list!$A:$R,16,FALSE)&amp;" ","")," ","")</f>
        <v/>
      </c>
      <c r="L80" t="str">
        <f>SUBSTITUTE(IFERROR(VLOOKUP(B80,[1]list!$A:$R,18,FALSE)&amp;" ","")," ","")</f>
        <v>WOMAN</v>
      </c>
      <c r="M80" t="str">
        <f t="shared" si="5"/>
        <v>P</v>
      </c>
    </row>
    <row r="81" spans="1:13">
      <c r="A81">
        <v>79</v>
      </c>
      <c r="B81" t="s">
        <v>79</v>
      </c>
      <c r="C81" t="str">
        <f>IFERROR(VLOOKUP(B81,[1]list!$A:$B,2,FALSE),"")</f>
        <v>レペット</v>
      </c>
      <c r="D81" t="str">
        <f>IFERROR(VLOOKUP(B81,[1]list!$A:$F,6,FALSE),"")</f>
        <v>レペット（repetto）は1947年にrose repetto女史がパリに開いて以来、ヨーロッパではクラシックバレエシューズウェアの先駆者であり現在もトップブランドで世界中のダンサーから愛されています。</v>
      </c>
      <c r="E81" t="str">
        <f>ref!$B$4&amp;ref!$B$5&amp;IFERROR(VLOOKUP(B81,[1]list!$A:$D,4,FALSE),"")</f>
        <v>/fs/lilietnene/c/repetto</v>
      </c>
      <c r="F81" s="1" t="str">
        <f>IFERROR(VLOOKUP(B81,[1]list!$A:$E,5,FALSE),"")</f>
        <v>repetto</v>
      </c>
      <c r="G81" t="str">
        <f t="shared" si="4"/>
        <v>REPETTO レペット</v>
      </c>
      <c r="H81" t="str">
        <f>SUBSTITUTE(IFERROR(VLOOKUP(B81,[1]list!$A:$U,21,FALSE),""),"0","")</f>
        <v>バレエ</v>
      </c>
      <c r="I81" t="str">
        <f>LOWER(TRIM(IFERROR(VLOOKUP(B81,[1]list!$A:$R,15,FALSE)&amp;" ","")&amp;IFERROR(VLOOKUP(B81,[1]list!$A:$R,16,FALSE)&amp;" ","")&amp;IFERROR(VLOOKUP(B81,[1]list!$A:$R,18,FALSE)&amp;" ","")&amp;IFERROR(VLOOKUP(B81,[1]list!$A:$S,19,FALSE)&amp;" ","")&amp;IFERROR(VLOOKUP(B81,[1]list!$A:$T,20,FALSE)&amp;" ","")))</f>
        <v>kids</v>
      </c>
      <c r="J81" t="str">
        <f>SUBSTITUTE(IFERROR(VLOOKUP(B81,[1]list!$A:$R,15,FALSE)&amp;" ","")," ","")</f>
        <v/>
      </c>
      <c r="K81" t="str">
        <f>SUBSTITUTE(IFERROR(VLOOKUP(B81,[1]list!$A:$R,16,FALSE)&amp;" ","")," ","")</f>
        <v>KIDS</v>
      </c>
      <c r="L81" t="str">
        <f>SUBSTITUTE(IFERROR(VLOOKUP(B81,[1]list!$A:$R,18,FALSE)&amp;" ","")," ","")</f>
        <v/>
      </c>
      <c r="M81" t="str">
        <f t="shared" si="5"/>
        <v>R</v>
      </c>
    </row>
    <row r="82" spans="1:13">
      <c r="A82">
        <v>80</v>
      </c>
      <c r="B82" t="s">
        <v>604</v>
      </c>
      <c r="C82" t="str">
        <f>IFERROR(VLOOKUP(B82,[1]list!$A:$B,2,FALSE),"")</f>
        <v>ライス</v>
      </c>
      <c r="D82" t="str">
        <f>IFERROR(VLOOKUP(B82,[1]list!$A:$F,6,FALSE),"")</f>
        <v>デザイナーのシャーロットと夫の フィリップ によって、デンマークで生まれたカラフルなインテリア雑貨ブランド「ライス」。メラミン食器は、カラーバリエーションが豊富で、普段使いはもちろん、パーティーやピクニック、バーベキューにも最適です。</v>
      </c>
      <c r="E82" t="str">
        <f>ref!$B$4&amp;ref!$B$5&amp;IFERROR(VLOOKUP(B82,[1]list!$A:$D,4,FALSE),"")</f>
        <v>/fs/lilietnene/c/rice</v>
      </c>
      <c r="F82" s="1" t="str">
        <f>IFERROR(VLOOKUP(B82,[1]list!$A:$E,5,FALSE),"")</f>
        <v>rice</v>
      </c>
      <c r="G82" t="str">
        <f t="shared" si="4"/>
        <v>RICE ライス</v>
      </c>
      <c r="H82" t="str">
        <f>SUBSTITUTE(IFERROR(VLOOKUP(B82,[1]list!$A:$U,21,FALSE),""),"0","")</f>
        <v>キッチン雑貨</v>
      </c>
      <c r="I82" t="str">
        <f>LOWER(TRIM(IFERROR(VLOOKUP(B82,[1]list!$A:$R,15,FALSE)&amp;" ","")&amp;IFERROR(VLOOKUP(B82,[1]list!$A:$R,16,FALSE)&amp;" ","")&amp;IFERROR(VLOOKUP(B82,[1]list!$A:$R,18,FALSE)&amp;" ","")&amp;IFERROR(VLOOKUP(B82,[1]list!$A:$S,19,FALSE)&amp;" ","")&amp;IFERROR(VLOOKUP(B82,[1]list!$A:$T,20,FALSE)&amp;" ","")))</f>
        <v>goods</v>
      </c>
      <c r="J82" t="str">
        <f>SUBSTITUTE(IFERROR(VLOOKUP(B82,[1]list!$A:$R,15,FALSE)&amp;" ","")," ","")</f>
        <v/>
      </c>
      <c r="K82" t="str">
        <f>SUBSTITUTE(IFERROR(VLOOKUP(B82,[1]list!$A:$R,16,FALSE)&amp;" ","")," ","")</f>
        <v/>
      </c>
      <c r="L82" t="str">
        <f>SUBSTITUTE(IFERROR(VLOOKUP(B82,[1]list!$A:$R,18,FALSE)&amp;" ","")," ","")</f>
        <v/>
      </c>
      <c r="M82" t="str">
        <f t="shared" si="5"/>
        <v>R</v>
      </c>
    </row>
    <row r="83" spans="1:13">
      <c r="A83">
        <v>81</v>
      </c>
      <c r="B83" t="s">
        <v>2289</v>
      </c>
      <c r="C83" t="str">
        <f>IFERROR(VLOOKUP(B83,[1]list!$A:$B,2,FALSE),"")</f>
        <v>RSグローバルトレード</v>
      </c>
      <c r="D83" t="str">
        <f>IFERROR(VLOOKUP(B83,[1]list!$A:$F,6,FALSE),"")</f>
        <v>ドイツのRSグローバルトレード社の本物と見間違えるほどのツリーは、日本でも1970年代から愛され続けてきました。
永く使うことを前提にしたデザインと品質で組み立て式としては世界随一と言われるています。</v>
      </c>
      <c r="E83" t="str">
        <f>ref!$B$4&amp;ref!$B$5&amp;IFERROR(VLOOKUP(B83,[1]list!$A:$D,4,FALSE),"")</f>
        <v>/fs/lilietnene/c/rsglobaltrade</v>
      </c>
      <c r="F83" s="1" t="str">
        <f>IFERROR(VLOOKUP(B83,[1]list!$A:$E,5,FALSE),"")</f>
        <v>rsglobaltrade</v>
      </c>
      <c r="G83" t="str">
        <f t="shared" si="4"/>
        <v>RS GLOBAL TRADE RSグローバルトレード</v>
      </c>
      <c r="H83" t="str">
        <f>SUBSTITUTE(IFERROR(VLOOKUP(B83,[1]list!$A:$U,21,FALSE),""),"0","")</f>
        <v/>
      </c>
      <c r="I83" t="str">
        <f>LOWER(TRIM(IFERROR(VLOOKUP(B83,[1]list!$A:$R,15,FALSE)&amp;" ","")&amp;IFERROR(VLOOKUP(B83,[1]list!$A:$R,16,FALSE)&amp;" ","")&amp;IFERROR(VLOOKUP(B83,[1]list!$A:$R,18,FALSE)&amp;" ","")&amp;IFERROR(VLOOKUP(B83,[1]list!$A:$S,19,FALSE)&amp;" ","")&amp;IFERROR(VLOOKUP(B83,[1]list!$A:$T,20,FALSE)&amp;" ","")))</f>
        <v/>
      </c>
      <c r="J83" t="str">
        <f>SUBSTITUTE(IFERROR(VLOOKUP(B83,[1]list!$A:$R,15,FALSE)&amp;" ","")," ","")</f>
        <v/>
      </c>
      <c r="K83" t="str">
        <f>SUBSTITUTE(IFERROR(VLOOKUP(B83,[1]list!$A:$R,16,FALSE)&amp;" ","")," ","")</f>
        <v/>
      </c>
      <c r="L83" t="str">
        <f>SUBSTITUTE(IFERROR(VLOOKUP(B83,[1]list!$A:$R,18,FALSE)&amp;" ","")," ","")</f>
        <v/>
      </c>
      <c r="M83" t="str">
        <f t="shared" si="5"/>
        <v>R</v>
      </c>
    </row>
    <row r="84" spans="1:13">
      <c r="A84">
        <v>82</v>
      </c>
      <c r="B84" t="s">
        <v>80</v>
      </c>
      <c r="C84" t="str">
        <f>IFERROR(VLOOKUP(B84,[1]list!$A:$B,2,FALSE),"")</f>
        <v>サンアルシデ</v>
      </c>
      <c r="D84" t="str">
        <f>IFERROR(VLOOKUP(B84,[1]list!$A:$F,6,FALSE),"")</f>
        <v>かごバッグや帽子で有名なサンアルシデ。ファンの心を掴んで離さない高品質でスタイリッシュなデザインです。 マダガスカル島のラフィア椰子を使ってハンドメイドされています。</v>
      </c>
      <c r="E84" t="str">
        <f>ref!$B$4&amp;ref!$B$5&amp;IFERROR(VLOOKUP(B84,[1]list!$A:$D,4,FALSE),"")</f>
        <v>/fs/lilietnene/c/sansarcidet</v>
      </c>
      <c r="F84" s="1" t="str">
        <f>IFERROR(VLOOKUP(B84,[1]list!$A:$E,5,FALSE),"")</f>
        <v>sansarcidet</v>
      </c>
      <c r="G84" t="str">
        <f t="shared" si="4"/>
        <v>SANS ARCIDET サンアルシデ</v>
      </c>
      <c r="H84" t="str">
        <f>SUBSTITUTE(IFERROR(VLOOKUP(B84,[1]list!$A:$U,21,FALSE),""),"0","")</f>
        <v>ハット</v>
      </c>
      <c r="I84" t="str">
        <f>LOWER(TRIM(IFERROR(VLOOKUP(B84,[1]list!$A:$R,15,FALSE)&amp;" ","")&amp;IFERROR(VLOOKUP(B84,[1]list!$A:$R,16,FALSE)&amp;" ","")&amp;IFERROR(VLOOKUP(B84,[1]list!$A:$R,18,FALSE)&amp;" ","")&amp;IFERROR(VLOOKUP(B84,[1]list!$A:$S,19,FALSE)&amp;" ","")&amp;IFERROR(VLOOKUP(B84,[1]list!$A:$T,20,FALSE)&amp;" ","")))</f>
        <v>kids</v>
      </c>
      <c r="J84" t="str">
        <f>SUBSTITUTE(IFERROR(VLOOKUP(B84,[1]list!$A:$R,15,FALSE)&amp;" ","")," ","")</f>
        <v/>
      </c>
      <c r="K84" t="str">
        <f>SUBSTITUTE(IFERROR(VLOOKUP(B84,[1]list!$A:$R,16,FALSE)&amp;" ","")," ","")</f>
        <v>KIDS</v>
      </c>
      <c r="L84" t="str">
        <f>SUBSTITUTE(IFERROR(VLOOKUP(B84,[1]list!$A:$R,18,FALSE)&amp;" ","")," ","")</f>
        <v/>
      </c>
      <c r="M84" t="str">
        <f t="shared" si="5"/>
        <v>S</v>
      </c>
    </row>
    <row r="85" spans="1:13">
      <c r="A85">
        <v>83</v>
      </c>
      <c r="B85" t="s">
        <v>137</v>
      </c>
      <c r="C85" t="str">
        <f>IFERROR(VLOOKUP(B85,[1]list!$A:$B,2,FALSE),"")</f>
        <v>センガー</v>
      </c>
      <c r="D85" t="str">
        <f>IFERROR(VLOOKUP(B85,[1]list!$A:$F,6,FALSE),"")</f>
        <v>ドイツに1985年に設立されたSENGER（ゼンガー）社。グリム童話で有名なグリム兄弟がお話を集めたババリア地方にあります。そこでは自然の中で生きる動物たちを目にすることができ、その動物たちの特徴はぬいぐるみのデザインに活かされています。</v>
      </c>
      <c r="E85" t="str">
        <f>ref!$B$4&amp;ref!$B$5&amp;IFERROR(VLOOKUP(B85,[1]list!$A:$D,4,FALSE),"")</f>
        <v>/fs/lilietnene/c/senger</v>
      </c>
      <c r="F85" s="1" t="str">
        <f>IFERROR(VLOOKUP(B85,[1]list!$A:$E,5,FALSE),"")</f>
        <v>senger</v>
      </c>
      <c r="G85" t="str">
        <f t="shared" si="4"/>
        <v>SENGER センガー</v>
      </c>
      <c r="H85" t="str">
        <f>SUBSTITUTE(IFERROR(VLOOKUP(B85,[1]list!$A:$U,21,FALSE),""),"0","")</f>
        <v>玩具</v>
      </c>
      <c r="I85" t="str">
        <f>LOWER(TRIM(IFERROR(VLOOKUP(B85,[1]list!$A:$R,15,FALSE)&amp;" ","")&amp;IFERROR(VLOOKUP(B85,[1]list!$A:$R,16,FALSE)&amp;" ","")&amp;IFERROR(VLOOKUP(B85,[1]list!$A:$R,18,FALSE)&amp;" ","")&amp;IFERROR(VLOOKUP(B85,[1]list!$A:$S,19,FALSE)&amp;" ","")&amp;IFERROR(VLOOKUP(B85,[1]list!$A:$T,20,FALSE)&amp;" ","")))</f>
        <v>goods</v>
      </c>
      <c r="J85" t="str">
        <f>SUBSTITUTE(IFERROR(VLOOKUP(B85,[1]list!$A:$R,15,FALSE)&amp;" ","")," ","")</f>
        <v/>
      </c>
      <c r="K85" t="str">
        <f>SUBSTITUTE(IFERROR(VLOOKUP(B85,[1]list!$A:$R,16,FALSE)&amp;" ","")," ","")</f>
        <v/>
      </c>
      <c r="L85" t="str">
        <f>SUBSTITUTE(IFERROR(VLOOKUP(B85,[1]list!$A:$R,18,FALSE)&amp;" ","")," ","")</f>
        <v/>
      </c>
      <c r="M85" t="str">
        <f t="shared" si="5"/>
        <v>S</v>
      </c>
    </row>
    <row r="86" spans="1:13">
      <c r="A86">
        <v>84</v>
      </c>
      <c r="B86" t="s">
        <v>139</v>
      </c>
      <c r="C86" t="str">
        <f>IFERROR(VLOOKUP(B86,[1]list!$A:$B,2,FALSE),"")</f>
        <v>サイアンベベ</v>
      </c>
      <c r="D86" t="str">
        <f>IFERROR(VLOOKUP(B86,[1]list!$A:$F,6,FALSE),"")</f>
        <v>イタリアで1922年に創立したサイアン社はベビー用ソープを中心に、ナチュラルで安心な製品を生産してきました。可愛いパッケージも人気です。</v>
      </c>
      <c r="E86" t="str">
        <f>ref!$B$4&amp;ref!$B$5&amp;IFERROR(VLOOKUP(B86,[1]list!$A:$D,4,FALSE),"")</f>
        <v>/fs/lilietnene/c/sianbebe</v>
      </c>
      <c r="F86" s="1" t="str">
        <f>IFERROR(VLOOKUP(B86,[1]list!$A:$E,5,FALSE),"")</f>
        <v>sianbebe</v>
      </c>
      <c r="G86" t="str">
        <f t="shared" si="4"/>
        <v>SIAN BEBE サイアンベベ</v>
      </c>
      <c r="H86" t="str">
        <f>SUBSTITUTE(IFERROR(VLOOKUP(B86,[1]list!$A:$U,21,FALSE),""),"0","")</f>
        <v>ボディケア</v>
      </c>
      <c r="I86" t="str">
        <f>LOWER(TRIM(IFERROR(VLOOKUP(B86,[1]list!$A:$R,15,FALSE)&amp;" ","")&amp;IFERROR(VLOOKUP(B86,[1]list!$A:$R,16,FALSE)&amp;" ","")&amp;IFERROR(VLOOKUP(B86,[1]list!$A:$R,18,FALSE)&amp;" ","")&amp;IFERROR(VLOOKUP(B86,[1]list!$A:$S,19,FALSE)&amp;" ","")&amp;IFERROR(VLOOKUP(B86,[1]list!$A:$T,20,FALSE)&amp;" ","")))</f>
        <v>goods</v>
      </c>
      <c r="J86" t="str">
        <f>SUBSTITUTE(IFERROR(VLOOKUP(B86,[1]list!$A:$R,15,FALSE)&amp;" ","")," ","")</f>
        <v/>
      </c>
      <c r="K86" t="str">
        <f>SUBSTITUTE(IFERROR(VLOOKUP(B86,[1]list!$A:$R,16,FALSE)&amp;" ","")," ","")</f>
        <v/>
      </c>
      <c r="L86" t="str">
        <f>SUBSTITUTE(IFERROR(VLOOKUP(B86,[1]list!$A:$R,18,FALSE)&amp;" ","")," ","")</f>
        <v/>
      </c>
      <c r="M86" t="str">
        <f t="shared" si="5"/>
        <v>S</v>
      </c>
    </row>
    <row r="87" spans="1:13">
      <c r="A87">
        <v>85</v>
      </c>
      <c r="B87" t="s">
        <v>138</v>
      </c>
      <c r="C87" t="str">
        <f>IFERROR(VLOOKUP(B87,[1]list!$A:$B,2,FALSE),"")</f>
        <v>ジーナ</v>
      </c>
      <c r="D87" t="str">
        <f>IFERROR(VLOOKUP(B87,[1]list!$A:$F,6,FALSE),"")</f>
        <v>ドイツのノイハウゼンで1991年に創業したジーナ社は、森林で育った健康なブナ材を多く使用し、子供達に安心な玩具を生産しています。その上質な玩具は数々の賞も受けており、ヨーロッパのみならず世界中で愛されています</v>
      </c>
      <c r="E87" t="str">
        <f>ref!$B$4&amp;ref!$B$5&amp;IFERROR(VLOOKUP(B87,[1]list!$A:$D,4,FALSE),"")</f>
        <v>/fs/lilietnene/c/sina</v>
      </c>
      <c r="F87" s="1" t="str">
        <f>IFERROR(VLOOKUP(B87,[1]list!$A:$E,5,FALSE),"")</f>
        <v>sina</v>
      </c>
      <c r="G87" t="str">
        <f t="shared" si="4"/>
        <v>SINA ジーナ</v>
      </c>
      <c r="H87" t="str">
        <f>SUBSTITUTE(IFERROR(VLOOKUP(B87,[1]list!$A:$U,21,FALSE),""),"0","")</f>
        <v>ウエア</v>
      </c>
      <c r="I87" t="str">
        <f>LOWER(TRIM(IFERROR(VLOOKUP(B87,[1]list!$A:$R,15,FALSE)&amp;" ","")&amp;IFERROR(VLOOKUP(B87,[1]list!$A:$R,16,FALSE)&amp;" ","")&amp;IFERROR(VLOOKUP(B87,[1]list!$A:$R,18,FALSE)&amp;" ","")&amp;IFERROR(VLOOKUP(B87,[1]list!$A:$S,19,FALSE)&amp;" ","")&amp;IFERROR(VLOOKUP(B87,[1]list!$A:$T,20,FALSE)&amp;" ","")))</f>
        <v>goods</v>
      </c>
      <c r="J87" t="str">
        <f>SUBSTITUTE(IFERROR(VLOOKUP(B87,[1]list!$A:$R,15,FALSE)&amp;" ","")," ","")</f>
        <v/>
      </c>
      <c r="K87" t="str">
        <f>SUBSTITUTE(IFERROR(VLOOKUP(B87,[1]list!$A:$R,16,FALSE)&amp;" ","")," ","")</f>
        <v/>
      </c>
      <c r="L87" t="str">
        <f>SUBSTITUTE(IFERROR(VLOOKUP(B87,[1]list!$A:$R,18,FALSE)&amp;" ","")," ","")</f>
        <v/>
      </c>
      <c r="M87" t="str">
        <f t="shared" si="5"/>
        <v>S</v>
      </c>
    </row>
    <row r="88" spans="1:13">
      <c r="A88">
        <v>86</v>
      </c>
      <c r="B88" t="s">
        <v>81</v>
      </c>
      <c r="C88" t="str">
        <f>IFERROR(VLOOKUP(B88,[1]list!$A:$B,2,FALSE),"")</f>
        <v>スール</v>
      </c>
      <c r="D88" t="str">
        <f>IFERROR(VLOOKUP(B88,[1]list!$A:$F,6,FALSE),"")</f>
        <v>パリのSOEURは、BonpointやBontonで経験を積んだドミティル・ブリオンとアンジェリックの姉妹が、ふたりの娘たちへと立ち上げたティーン向けブランド。上品なキュートさがのぞくコレクションを展開。</v>
      </c>
      <c r="E88" t="str">
        <f>ref!$B$4&amp;ref!$B$5&amp;IFERROR(VLOOKUP(B88,[1]list!$A:$D,4,FALSE),"")</f>
        <v>/fs/lilietnene/c/soeur</v>
      </c>
      <c r="F88" s="1" t="str">
        <f>IFERROR(VLOOKUP(B88,[1]list!$A:$E,5,FALSE),"")</f>
        <v>soeur</v>
      </c>
      <c r="G88" t="str">
        <f t="shared" si="4"/>
        <v>SOEUR スール</v>
      </c>
      <c r="H88" t="str">
        <f>SUBSTITUTE(IFERROR(VLOOKUP(B88,[1]list!$A:$U,21,FALSE),""),"0","")</f>
        <v>ウエア</v>
      </c>
      <c r="I88" t="str">
        <f>LOWER(TRIM(IFERROR(VLOOKUP(B88,[1]list!$A:$R,15,FALSE)&amp;" ","")&amp;IFERROR(VLOOKUP(B88,[1]list!$A:$R,16,FALSE)&amp;" ","")&amp;IFERROR(VLOOKUP(B88,[1]list!$A:$R,18,FALSE)&amp;" ","")&amp;IFERROR(VLOOKUP(B88,[1]list!$A:$S,19,FALSE)&amp;" ","")&amp;IFERROR(VLOOKUP(B88,[1]list!$A:$T,20,FALSE)&amp;" ","")))</f>
        <v>kids woman</v>
      </c>
      <c r="J88" t="str">
        <f>SUBSTITUTE(IFERROR(VLOOKUP(B88,[1]list!$A:$R,15,FALSE)&amp;" ","")," ","")</f>
        <v/>
      </c>
      <c r="K88" t="str">
        <f>SUBSTITUTE(IFERROR(VLOOKUP(B88,[1]list!$A:$R,16,FALSE)&amp;" ","")," ","")</f>
        <v>KIDS</v>
      </c>
      <c r="L88" t="str">
        <f>SUBSTITUTE(IFERROR(VLOOKUP(B88,[1]list!$A:$R,18,FALSE)&amp;" ","")," ","")</f>
        <v>WOMAN</v>
      </c>
      <c r="M88" t="str">
        <f t="shared" si="5"/>
        <v>S</v>
      </c>
    </row>
    <row r="89" spans="1:13">
      <c r="A89">
        <v>87</v>
      </c>
      <c r="B89" t="s">
        <v>103</v>
      </c>
      <c r="C89" t="str">
        <f>IFERROR(VLOOKUP(B89,[1]list!$A:$B,2,FALSE),"")</f>
        <v>ソフィードール</v>
      </c>
      <c r="D89" t="str">
        <f>IFERROR(VLOOKUP(B89,[1]list!$A:$F,6,FALSE),"")</f>
        <v>ベルギーのアントワープ生れのデザイナーSOFIED'HOORE（ソフィードール）。素材選び、着心地の良さ、シルエットの美しさなどを追及して創り出されたスタイルは時代に左右されることなく、時を経ても新鮮さを失わない上質さを持っています。</v>
      </c>
      <c r="E89" t="str">
        <f>ref!$B$4&amp;ref!$B$5&amp;IFERROR(VLOOKUP(B89,[1]list!$A:$D,4,FALSE),"")</f>
        <v>/fs/lilietnene/c/sofiedhoore</v>
      </c>
      <c r="F89" s="1" t="str">
        <f>IFERROR(VLOOKUP(B89,[1]list!$A:$E,5,FALSE),"")</f>
        <v>sofiedhoore</v>
      </c>
      <c r="G89" t="str">
        <f t="shared" si="4"/>
        <v>SOFIE D'HOORE ソフィードール</v>
      </c>
      <c r="H89" t="str">
        <f>SUBSTITUTE(IFERROR(VLOOKUP(B89,[1]list!$A:$U,21,FALSE),""),"0","")</f>
        <v>ウエア</v>
      </c>
      <c r="I89" t="str">
        <f>LOWER(TRIM(IFERROR(VLOOKUP(B89,[1]list!$A:$R,15,FALSE)&amp;" ","")&amp;IFERROR(VLOOKUP(B89,[1]list!$A:$R,16,FALSE)&amp;" ","")&amp;IFERROR(VLOOKUP(B89,[1]list!$A:$R,18,FALSE)&amp;" ","")&amp;IFERROR(VLOOKUP(B89,[1]list!$A:$S,19,FALSE)&amp;" ","")&amp;IFERROR(VLOOKUP(B89,[1]list!$A:$T,20,FALSE)&amp;" ","")))</f>
        <v>woman</v>
      </c>
      <c r="J89" t="str">
        <f>SUBSTITUTE(IFERROR(VLOOKUP(B89,[1]list!$A:$R,15,FALSE)&amp;" ","")," ","")</f>
        <v/>
      </c>
      <c r="K89" t="str">
        <f>SUBSTITUTE(IFERROR(VLOOKUP(B89,[1]list!$A:$R,16,FALSE)&amp;" ","")," ","")</f>
        <v/>
      </c>
      <c r="L89" t="str">
        <f>SUBSTITUTE(IFERROR(VLOOKUP(B89,[1]list!$A:$R,18,FALSE)&amp;" ","")," ","")</f>
        <v>WOMAN</v>
      </c>
      <c r="M89" t="str">
        <f t="shared" si="5"/>
        <v>S</v>
      </c>
    </row>
    <row r="90" spans="1:13">
      <c r="A90">
        <v>88</v>
      </c>
      <c r="B90" t="s">
        <v>104</v>
      </c>
      <c r="C90" t="str">
        <f>IFERROR(VLOOKUP(B90,[1]list!$A:$B,2,FALSE),"")</f>
        <v>ソフィー・ディガール</v>
      </c>
      <c r="D90" t="str">
        <f>IFERROR(VLOOKUP(B90,[1]list!$A:$F,6,FALSE),"")</f>
        <v>フランスのデザイナーのSophieはモチーフ編みの作品を展開しています。女性ならではの色使いやデザイン、そして全て職人のハンドメイドで丁寧に作られおり、今や世界中に彼女の作品を心待ちにしているファンも多くいます。</v>
      </c>
      <c r="E90" t="str">
        <f>ref!$B$4&amp;ref!$B$5&amp;IFERROR(VLOOKUP(B90,[1]list!$A:$D,4,FALSE),"")</f>
        <v>/fs/lilietnene/c/sophiedigard</v>
      </c>
      <c r="F90" s="1" t="str">
        <f>IFERROR(VLOOKUP(B90,[1]list!$A:$E,5,FALSE),"")</f>
        <v>sophiedigard</v>
      </c>
      <c r="G90" t="str">
        <f t="shared" si="4"/>
        <v>SOPHIE DIGARD ソフィー・ディガール</v>
      </c>
      <c r="H90" t="str">
        <f>SUBSTITUTE(IFERROR(VLOOKUP(B90,[1]list!$A:$U,21,FALSE),""),"0","")</f>
        <v>ストール・バッグ</v>
      </c>
      <c r="I90" t="str">
        <f>LOWER(TRIM(IFERROR(VLOOKUP(B90,[1]list!$A:$R,15,FALSE)&amp;" ","")&amp;IFERROR(VLOOKUP(B90,[1]list!$A:$R,16,FALSE)&amp;" ","")&amp;IFERROR(VLOOKUP(B90,[1]list!$A:$R,18,FALSE)&amp;" ","")&amp;IFERROR(VLOOKUP(B90,[1]list!$A:$S,19,FALSE)&amp;" ","")&amp;IFERROR(VLOOKUP(B90,[1]list!$A:$T,20,FALSE)&amp;" ","")))</f>
        <v>woman</v>
      </c>
      <c r="J90" t="str">
        <f>SUBSTITUTE(IFERROR(VLOOKUP(B90,[1]list!$A:$R,15,FALSE)&amp;" ","")," ","")</f>
        <v/>
      </c>
      <c r="K90" t="str">
        <f>SUBSTITUTE(IFERROR(VLOOKUP(B90,[1]list!$A:$R,16,FALSE)&amp;" ","")," ","")</f>
        <v/>
      </c>
      <c r="L90" t="str">
        <f>SUBSTITUTE(IFERROR(VLOOKUP(B90,[1]list!$A:$R,18,FALSE)&amp;" ","")," ","")</f>
        <v>WOMAN</v>
      </c>
      <c r="M90" t="str">
        <f t="shared" si="5"/>
        <v>S</v>
      </c>
    </row>
    <row r="91" spans="1:13">
      <c r="A91">
        <v>89</v>
      </c>
      <c r="B91" t="s">
        <v>616</v>
      </c>
      <c r="C91" t="str">
        <f>IFERROR(VLOOKUP(B91,[1]list!$A:$B,2,FALSE),"")</f>
        <v>シュトックマー</v>
      </c>
      <c r="D91" t="str">
        <f>IFERROR(VLOOKUP(B91,[1]list!$A:$F,6,FALSE),"")</f>
        <v>ドイツの画材メーカーSTOCKMAR。シュタイナー学校の先生方と協力し、蜜ろうクレヨン、蜜ろう粘土、水彩絵の具を開発してきました。より洗練された製品作りを目指して常に改良を重ね、子どもたちが良質な体験ができるように今も努力を続けています。</v>
      </c>
      <c r="E91" t="str">
        <f>ref!$B$4&amp;ref!$B$5&amp;IFERROR(VLOOKUP(B91,[1]list!$A:$D,4,FALSE),"")</f>
        <v>/fs/lilietnene/c/stockmar</v>
      </c>
      <c r="F91" s="1" t="str">
        <f>IFERROR(VLOOKUP(B91,[1]list!$A:$E,5,FALSE),"")</f>
        <v>stockmar</v>
      </c>
      <c r="G91" t="str">
        <f t="shared" si="4"/>
        <v>STOCKMAR シュトックマー</v>
      </c>
      <c r="H91" t="str">
        <f>SUBSTITUTE(IFERROR(VLOOKUP(B91,[1]list!$A:$U,21,FALSE),""),"0","")</f>
        <v>ステーショナリー</v>
      </c>
      <c r="I91" t="str">
        <f>LOWER(TRIM(IFERROR(VLOOKUP(B91,[1]list!$A:$R,15,FALSE)&amp;" ","")&amp;IFERROR(VLOOKUP(B91,[1]list!$A:$R,16,FALSE)&amp;" ","")&amp;IFERROR(VLOOKUP(B91,[1]list!$A:$R,18,FALSE)&amp;" ","")&amp;IFERROR(VLOOKUP(B91,[1]list!$A:$S,19,FALSE)&amp;" ","")&amp;IFERROR(VLOOKUP(B91,[1]list!$A:$T,20,FALSE)&amp;" ","")))</f>
        <v>goods</v>
      </c>
      <c r="J91" t="str">
        <f>SUBSTITUTE(IFERROR(VLOOKUP(B91,[1]list!$A:$R,15,FALSE)&amp;" ","")," ","")</f>
        <v/>
      </c>
      <c r="K91" t="str">
        <f>SUBSTITUTE(IFERROR(VLOOKUP(B91,[1]list!$A:$R,16,FALSE)&amp;" ","")," ","")</f>
        <v/>
      </c>
      <c r="L91" t="str">
        <f>SUBSTITUTE(IFERROR(VLOOKUP(B91,[1]list!$A:$R,18,FALSE)&amp;" ","")," ","")</f>
        <v/>
      </c>
      <c r="M91" t="str">
        <f t="shared" si="5"/>
        <v>S</v>
      </c>
    </row>
    <row r="92" spans="1:13">
      <c r="A92">
        <v>90</v>
      </c>
      <c r="B92" t="s">
        <v>105</v>
      </c>
      <c r="C92" t="str">
        <f>IFERROR(VLOOKUP(B92,[1]list!$A:$B,2,FALSE),"")</f>
        <v>スウィルデンズ</v>
      </c>
      <c r="D92" t="str">
        <f>IFERROR(VLOOKUP(B92,[1]list!$A:$F,6,FALSE),"")</f>
        <v>2006年にスタイリストのJulietteSwildensがスタートさせた、フランス・パリ発のレディースウェアブランド。ボヘミアン、シック、ロック、クラシックなどのJulietteが愛する様々なエレメンツを詰め込んだ、タイムレスなデザインが特徴。ガールズラインも人気です</v>
      </c>
      <c r="E92" t="str">
        <f>ref!$B$4&amp;ref!$B$5&amp;IFERROR(VLOOKUP(B92,[1]list!$A:$D,4,FALSE),"")</f>
        <v>/fs/lilietnene/c/swildens</v>
      </c>
      <c r="F92" s="1" t="str">
        <f>IFERROR(VLOOKUP(B92,[1]list!$A:$E,5,FALSE),"")</f>
        <v>swildens</v>
      </c>
      <c r="G92" t="str">
        <f t="shared" si="4"/>
        <v>SWILDENS スウィルデンズ</v>
      </c>
      <c r="H92" t="str">
        <f>SUBSTITUTE(IFERROR(VLOOKUP(B92,[1]list!$A:$U,21,FALSE),""),"0","")</f>
        <v>ウエア</v>
      </c>
      <c r="I92" t="str">
        <f>LOWER(TRIM(IFERROR(VLOOKUP(B92,[1]list!$A:$R,15,FALSE)&amp;" ","")&amp;IFERROR(VLOOKUP(B92,[1]list!$A:$R,16,FALSE)&amp;" ","")&amp;IFERROR(VLOOKUP(B92,[1]list!$A:$R,18,FALSE)&amp;" ","")&amp;IFERROR(VLOOKUP(B92,[1]list!$A:$S,19,FALSE)&amp;" ","")&amp;IFERROR(VLOOKUP(B92,[1]list!$A:$T,20,FALSE)&amp;" ","")))</f>
        <v>kids woman</v>
      </c>
      <c r="J92" t="str">
        <f>SUBSTITUTE(IFERROR(VLOOKUP(B92,[1]list!$A:$R,15,FALSE)&amp;" ","")," ","")</f>
        <v>KIDS</v>
      </c>
      <c r="K92" t="str">
        <f>SUBSTITUTE(IFERROR(VLOOKUP(B92,[1]list!$A:$R,16,FALSE)&amp;" ","")," ","")</f>
        <v/>
      </c>
      <c r="L92" t="str">
        <f>SUBSTITUTE(IFERROR(VLOOKUP(B92,[1]list!$A:$R,18,FALSE)&amp;" ","")," ","")</f>
        <v>WOMAN</v>
      </c>
      <c r="M92" t="str">
        <f t="shared" si="5"/>
        <v>S</v>
      </c>
    </row>
    <row r="93" spans="1:13">
      <c r="A93">
        <v>91</v>
      </c>
      <c r="B93" t="s">
        <v>151</v>
      </c>
      <c r="C93" t="str">
        <f>IFERROR(VLOOKUP(B93,[1]list!$A:$B,2,FALSE),"")</f>
        <v>タマーモーゲンドルフ</v>
      </c>
      <c r="D93" t="str">
        <f>IFERROR(VLOOKUP(B93,[1]list!$A:$F,6,FALSE),"")</f>
        <v>動物・鳥など様々なモチーフを表情豊かに作り出す、TamarMogendorff。独創性と雰囲気のあるカラーリングが見るものを魅了します。</v>
      </c>
      <c r="E93" t="str">
        <f>ref!$B$4&amp;ref!$B$5&amp;IFERROR(VLOOKUP(B93,[1]list!$A:$D,4,FALSE),"")</f>
        <v>/fs/lilietnene/c/tamarmogendorff</v>
      </c>
      <c r="F93" s="1" t="str">
        <f>IFERROR(VLOOKUP(B93,[1]list!$A:$E,5,FALSE),"")</f>
        <v>tamarmogendorff</v>
      </c>
      <c r="G93" t="str">
        <f t="shared" ref="G93:G99" si="6">B93&amp;" "&amp;C93</f>
        <v>TAMAR MOGENDORFF タマーモーゲンドルフ</v>
      </c>
      <c r="H93" t="str">
        <f>SUBSTITUTE(IFERROR(VLOOKUP(B93,[1]list!$A:$U,21,FALSE),""),"0","")</f>
        <v>アート・オブジェ</v>
      </c>
      <c r="I93" t="str">
        <f>LOWER(TRIM(IFERROR(VLOOKUP(B93,[1]list!$A:$R,15,FALSE)&amp;" ","")&amp;IFERROR(VLOOKUP(B93,[1]list!$A:$R,16,FALSE)&amp;" ","")&amp;IFERROR(VLOOKUP(B93,[1]list!$A:$R,18,FALSE)&amp;" ","")&amp;IFERROR(VLOOKUP(B93,[1]list!$A:$S,19,FALSE)&amp;" ","")&amp;IFERROR(VLOOKUP(B93,[1]list!$A:$T,20,FALSE)&amp;" ","")))</f>
        <v>goods</v>
      </c>
      <c r="J93" t="str">
        <f>SUBSTITUTE(IFERROR(VLOOKUP(B93,[1]list!$A:$R,15,FALSE)&amp;" ","")," ","")</f>
        <v/>
      </c>
      <c r="K93" t="str">
        <f>SUBSTITUTE(IFERROR(VLOOKUP(B93,[1]list!$A:$R,16,FALSE)&amp;" ","")," ","")</f>
        <v/>
      </c>
      <c r="L93" t="str">
        <f>SUBSTITUTE(IFERROR(VLOOKUP(B93,[1]list!$A:$R,18,FALSE)&amp;" ","")," ","")</f>
        <v/>
      </c>
      <c r="M93" t="str">
        <f t="shared" si="5"/>
        <v>T</v>
      </c>
    </row>
    <row r="94" spans="1:13">
      <c r="A94">
        <v>92</v>
      </c>
      <c r="B94" t="s">
        <v>2290</v>
      </c>
      <c r="C94" t="str">
        <f>IFERROR(VLOOKUP(B94,[1]list!$A:$B,2,FALSE),"")</f>
        <v>タウ</v>
      </c>
      <c r="D94" t="str">
        <f>IFERROR(VLOOKUP(B94,[1]list!$A:$F,6,FALSE),"")</f>
        <v>ドイツのTAU社で丁寧につくられた、本革製（ヌメ革）のキーホルダー。質のよいナチュラルなヌメ革で、使い込むほどにレザーの味わいをお楽しみいただけます。</v>
      </c>
      <c r="E94" t="str">
        <f>ref!$B$4&amp;ref!$B$5&amp;IFERROR(VLOOKUP(B94,[1]list!$A:$D,4,FALSE),"")</f>
        <v>/fs/lilietnene/c/tau</v>
      </c>
      <c r="F94" s="1" t="str">
        <f>IFERROR(VLOOKUP(B94,[1]list!$A:$E,5,FALSE),"")</f>
        <v>tau</v>
      </c>
      <c r="G94" t="str">
        <f t="shared" si="6"/>
        <v>TAU タウ</v>
      </c>
      <c r="H94" t="str">
        <f>SUBSTITUTE(IFERROR(VLOOKUP(B94,[1]list!$A:$U,21,FALSE),""),"0","")</f>
        <v/>
      </c>
      <c r="I94" t="str">
        <f>LOWER(TRIM(IFERROR(VLOOKUP(B94,[1]list!$A:$R,15,FALSE)&amp;" ","")&amp;IFERROR(VLOOKUP(B94,[1]list!$A:$R,16,FALSE)&amp;" ","")&amp;IFERROR(VLOOKUP(B94,[1]list!$A:$R,18,FALSE)&amp;" ","")&amp;IFERROR(VLOOKUP(B94,[1]list!$A:$S,19,FALSE)&amp;" ","")&amp;IFERROR(VLOOKUP(B94,[1]list!$A:$T,20,FALSE)&amp;" ","")))</f>
        <v/>
      </c>
      <c r="J94" t="str">
        <f>SUBSTITUTE(IFERROR(VLOOKUP(B94,[1]list!$A:$R,15,FALSE)&amp;" ","")," ","")</f>
        <v/>
      </c>
      <c r="K94" t="str">
        <f>SUBSTITUTE(IFERROR(VLOOKUP(B94,[1]list!$A:$R,16,FALSE)&amp;" ","")," ","")</f>
        <v/>
      </c>
      <c r="L94" t="str">
        <f>SUBSTITUTE(IFERROR(VLOOKUP(B94,[1]list!$A:$R,18,FALSE)&amp;" ","")," ","")</f>
        <v/>
      </c>
      <c r="M94" t="str">
        <f t="shared" ref="M94:M99" si="7">LEFT(B94,1)</f>
        <v>T</v>
      </c>
    </row>
    <row r="95" spans="1:13">
      <c r="A95">
        <v>93</v>
      </c>
      <c r="B95" t="s">
        <v>106</v>
      </c>
      <c r="C95" t="str">
        <f>IFERROR(VLOOKUP(B95,[1]list!$A:$B,2,FALSE),"")</f>
        <v>トラディショナルウェザーウエア</v>
      </c>
      <c r="D95" t="str">
        <f>IFERROR(VLOOKUP(B95,[1]list!$A:$F,6,FALSE),"")</f>
        <v>TRADITIONAL WEATHERWEAR（トラディショナルウェザーウェア）は、セレクトショップで注目されているゴム引きコート『マッキントッシュ』社のセカンドライン。英国の伝統的でスタイリッシュなアウターが特徴です。</v>
      </c>
      <c r="E95" t="str">
        <f>ref!$B$4&amp;ref!$B$5&amp;IFERROR(VLOOKUP(B95,[1]list!$A:$D,4,FALSE),"")</f>
        <v>/fs/lilietnene/c/tww</v>
      </c>
      <c r="F95" s="1" t="str">
        <f>IFERROR(VLOOKUP(B95,[1]list!$A:$E,5,FALSE),"")</f>
        <v>tww</v>
      </c>
      <c r="G95" t="str">
        <f t="shared" si="6"/>
        <v>TRADITIONAL WEATHERWEAR トラディショナルウェザーウエア</v>
      </c>
      <c r="H95" t="str">
        <f>SUBSTITUTE(IFERROR(VLOOKUP(B95,[1]list!$A:$U,21,FALSE),""),"0","")</f>
        <v>ウエア・バッグ・傘</v>
      </c>
      <c r="I95" t="str">
        <f>LOWER(TRIM(IFERROR(VLOOKUP(B95,[1]list!$A:$R,15,FALSE)&amp;" ","")&amp;IFERROR(VLOOKUP(B95,[1]list!$A:$R,16,FALSE)&amp;" ","")&amp;IFERROR(VLOOKUP(B95,[1]list!$A:$R,18,FALSE)&amp;" ","")&amp;IFERROR(VLOOKUP(B95,[1]list!$A:$S,19,FALSE)&amp;" ","")&amp;IFERROR(VLOOKUP(B95,[1]list!$A:$T,20,FALSE)&amp;" ","")))</f>
        <v>woman</v>
      </c>
      <c r="J95" t="str">
        <f>SUBSTITUTE(IFERROR(VLOOKUP(B95,[1]list!$A:$R,15,FALSE)&amp;" ","")," ","")</f>
        <v/>
      </c>
      <c r="K95" t="str">
        <f>SUBSTITUTE(IFERROR(VLOOKUP(B95,[1]list!$A:$R,16,FALSE)&amp;" ","")," ","")</f>
        <v/>
      </c>
      <c r="L95" t="str">
        <f>SUBSTITUTE(IFERROR(VLOOKUP(B95,[1]list!$A:$R,18,FALSE)&amp;" ","")," ","")</f>
        <v>WOMAN</v>
      </c>
      <c r="M95" t="str">
        <f t="shared" si="7"/>
        <v>T</v>
      </c>
    </row>
    <row r="96" spans="1:13">
      <c r="A96">
        <v>94</v>
      </c>
      <c r="B96" t="s">
        <v>136</v>
      </c>
      <c r="C96" t="str">
        <f>IFERROR(VLOOKUP(B96,[1]list!$A:$B,2,FALSE),"")</f>
        <v>トラセリア</v>
      </c>
      <c r="D96" t="str">
        <f>IFERROR(VLOOKUP(B96,[1]list!$A:$F,6,FALSE),"")</f>
        <v>1973年にフランスで誕生したトラセリアは「生活をアートする」というコンセプトのもと、シンプルなもの創りにより、常に高い人気を得ています。商品は全てヨーロッパの安全基準である「ＣＥ」に合格しているのでお子様にも安心してお使い頂けます</v>
      </c>
      <c r="E96" t="str">
        <f>ref!$B$4&amp;ref!$B$5&amp;IFERROR(VLOOKUP(B96,[1]list!$A:$D,4,FALSE),"")</f>
        <v>/fs/lilietnene/c/trousselier</v>
      </c>
      <c r="F96" s="1" t="str">
        <f>IFERROR(VLOOKUP(B96,[1]list!$A:$E,5,FALSE),"")</f>
        <v>trousselier</v>
      </c>
      <c r="G96" t="str">
        <f t="shared" si="6"/>
        <v>TROUSSELIER トラセリア</v>
      </c>
      <c r="H96" t="str">
        <f>SUBSTITUTE(IFERROR(VLOOKUP(B96,[1]list!$A:$U,21,FALSE),""),"0","")</f>
        <v>玩具</v>
      </c>
      <c r="I96" t="str">
        <f>LOWER(TRIM(IFERROR(VLOOKUP(B96,[1]list!$A:$R,15,FALSE)&amp;" ","")&amp;IFERROR(VLOOKUP(B96,[1]list!$A:$R,16,FALSE)&amp;" ","")&amp;IFERROR(VLOOKUP(B96,[1]list!$A:$R,18,FALSE)&amp;" ","")&amp;IFERROR(VLOOKUP(B96,[1]list!$A:$S,19,FALSE)&amp;" ","")&amp;IFERROR(VLOOKUP(B96,[1]list!$A:$T,20,FALSE)&amp;" ","")))</f>
        <v>goods</v>
      </c>
      <c r="J96" t="str">
        <f>SUBSTITUTE(IFERROR(VLOOKUP(B96,[1]list!$A:$R,15,FALSE)&amp;" ","")," ","")</f>
        <v/>
      </c>
      <c r="K96" t="str">
        <f>SUBSTITUTE(IFERROR(VLOOKUP(B96,[1]list!$A:$R,16,FALSE)&amp;" ","")," ","")</f>
        <v/>
      </c>
      <c r="L96" t="str">
        <f>SUBSTITUTE(IFERROR(VLOOKUP(B96,[1]list!$A:$R,18,FALSE)&amp;" ","")," ","")</f>
        <v/>
      </c>
      <c r="M96" t="str">
        <f t="shared" si="7"/>
        <v>T</v>
      </c>
    </row>
    <row r="97" spans="1:13">
      <c r="A97">
        <v>95</v>
      </c>
      <c r="B97" t="s">
        <v>107</v>
      </c>
      <c r="C97" t="str">
        <f>IFERROR(VLOOKUP(B97,[1]list!$A:$B,2,FALSE),"")</f>
        <v>ティヤマイ</v>
      </c>
      <c r="D97" t="str">
        <f>IFERROR(VLOOKUP(B97,[1]list!$A:$F,6,FALSE),"")</f>
        <v>日本人デザイナー・山井孝氏によるブランド『t.yamai』はベーシックな中にもフェミニンで上品なデザインが多くのファンを魅了しています。</v>
      </c>
      <c r="E97" t="str">
        <f>ref!$B$4&amp;ref!$B$5&amp;IFERROR(VLOOKUP(B97,[1]list!$A:$D,4,FALSE),"")</f>
        <v>/fs/lilietnene/c/tyamai</v>
      </c>
      <c r="F97" s="1" t="str">
        <f>IFERROR(VLOOKUP(B97,[1]list!$A:$E,5,FALSE),"")</f>
        <v>tyamai</v>
      </c>
      <c r="G97" t="str">
        <f t="shared" si="6"/>
        <v>T.YAMAI ティヤマイ</v>
      </c>
      <c r="H97" t="str">
        <f>SUBSTITUTE(IFERROR(VLOOKUP(B97,[1]list!$A:$U,21,FALSE),""),"0","")</f>
        <v>ウエア</v>
      </c>
      <c r="I97" t="str">
        <f>LOWER(TRIM(IFERROR(VLOOKUP(B97,[1]list!$A:$R,15,FALSE)&amp;" ","")&amp;IFERROR(VLOOKUP(B97,[1]list!$A:$R,16,FALSE)&amp;" ","")&amp;IFERROR(VLOOKUP(B97,[1]list!$A:$R,18,FALSE)&amp;" ","")&amp;IFERROR(VLOOKUP(B97,[1]list!$A:$S,19,FALSE)&amp;" ","")&amp;IFERROR(VLOOKUP(B97,[1]list!$A:$T,20,FALSE)&amp;" ","")))</f>
        <v>woman</v>
      </c>
      <c r="J97" t="str">
        <f>SUBSTITUTE(IFERROR(VLOOKUP(B97,[1]list!$A:$R,15,FALSE)&amp;" ","")," ","")</f>
        <v/>
      </c>
      <c r="K97" t="str">
        <f>SUBSTITUTE(IFERROR(VLOOKUP(B97,[1]list!$A:$R,16,FALSE)&amp;" ","")," ","")</f>
        <v/>
      </c>
      <c r="L97" t="str">
        <f>SUBSTITUTE(IFERROR(VLOOKUP(B97,[1]list!$A:$R,18,FALSE)&amp;" ","")," ","")</f>
        <v>WOMAN</v>
      </c>
      <c r="M97" t="str">
        <f t="shared" si="7"/>
        <v>T</v>
      </c>
    </row>
    <row r="98" spans="1:13">
      <c r="A98">
        <v>96</v>
      </c>
      <c r="B98" t="s">
        <v>626</v>
      </c>
      <c r="C98" t="str">
        <f>IFERROR(VLOOKUP(B98,[1]list!$A:$B,2,FALSE),"")</f>
        <v>ヴィラック</v>
      </c>
      <c r="D98" t="str">
        <f>IFERROR(VLOOKUP(B98,[1]list!$A:$F,6,FALSE),"")</f>
        <v>フランスの歴史ある木製オモチャのVILACは良質な木を使い、職人たちによって作られています。その温か味ある風合いとデザイン性や安全性など各国から高い評価を受けております。</v>
      </c>
      <c r="E98" t="str">
        <f>ref!$B$4&amp;ref!$B$5&amp;IFERROR(VLOOKUP(B98,[1]list!$A:$D,4,FALSE),"")</f>
        <v>/fs/lilietnene/c/vilac</v>
      </c>
      <c r="F98" s="1" t="str">
        <f>IFERROR(VLOOKUP(B98,[1]list!$A:$E,5,FALSE),"")</f>
        <v>vilac</v>
      </c>
      <c r="G98" t="str">
        <f t="shared" si="6"/>
        <v>VILAC ヴィラック</v>
      </c>
      <c r="H98" t="str">
        <f>SUBSTITUTE(IFERROR(VLOOKUP(B98,[1]list!$A:$U,21,FALSE),""),"0","")</f>
        <v>玩具</v>
      </c>
      <c r="I98" t="str">
        <f>LOWER(TRIM(IFERROR(VLOOKUP(B98,[1]list!$A:$R,15,FALSE)&amp;" ","")&amp;IFERROR(VLOOKUP(B98,[1]list!$A:$R,16,FALSE)&amp;" ","")&amp;IFERROR(VLOOKUP(B98,[1]list!$A:$R,18,FALSE)&amp;" ","")&amp;IFERROR(VLOOKUP(B98,[1]list!$A:$S,19,FALSE)&amp;" ","")&amp;IFERROR(VLOOKUP(B98,[1]list!$A:$T,20,FALSE)&amp;" ","")))</f>
        <v>goods</v>
      </c>
      <c r="J98" t="str">
        <f>SUBSTITUTE(IFERROR(VLOOKUP(B98,[1]list!$A:$R,15,FALSE)&amp;" ","")," ","")</f>
        <v/>
      </c>
      <c r="K98" t="str">
        <f>SUBSTITUTE(IFERROR(VLOOKUP(B98,[1]list!$A:$R,16,FALSE)&amp;" ","")," ","")</f>
        <v/>
      </c>
      <c r="L98" t="str">
        <f>SUBSTITUTE(IFERROR(VLOOKUP(B98,[1]list!$A:$R,18,FALSE)&amp;" ","")," ","")</f>
        <v/>
      </c>
      <c r="M98" t="str">
        <f t="shared" si="7"/>
        <v>V</v>
      </c>
    </row>
    <row r="99" spans="1:13">
      <c r="A99">
        <v>97</v>
      </c>
      <c r="B99" t="s">
        <v>631</v>
      </c>
      <c r="C99" t="str">
        <f>IFERROR(VLOOKUP(B99,[1]list!$A:$B,2,FALSE),"")</f>
        <v>ウールリッチ</v>
      </c>
      <c r="D99" t="str">
        <f>IFERROR(VLOOKUP(B99,[1]list!$A:$F,6,FALSE),"")</f>
        <v>創業180年のアメリカ・ペンシルバニア州のアウトドアブランド、WOOLRICH。原料の調達から製品までの一貫した生産を行える、信頼ある会社としてアメリカで名を広めました。</v>
      </c>
      <c r="E99" t="str">
        <f>ref!$B$4&amp;ref!$B$5&amp;IFERROR(VLOOKUP(B99,[1]list!$A:$D,4,FALSE),"")</f>
        <v>/fs/lilietnene/c/woolrich</v>
      </c>
      <c r="F99" s="1" t="str">
        <f>IFERROR(VLOOKUP(B99,[1]list!$A:$E,5,FALSE),"")</f>
        <v>woolrich</v>
      </c>
      <c r="G99" t="str">
        <f t="shared" si="6"/>
        <v>WOOLRICH ウールリッチ</v>
      </c>
      <c r="H99" t="str">
        <f>SUBSTITUTE(IFERROR(VLOOKUP(B99,[1]list!$A:$U,21,FALSE),""),"0","")</f>
        <v>インテリア・ハウスウエア</v>
      </c>
      <c r="I99" t="str">
        <f>LOWER(TRIM(IFERROR(VLOOKUP(B99,[1]list!$A:$R,15,FALSE)&amp;" ","")&amp;IFERROR(VLOOKUP(B99,[1]list!$A:$R,16,FALSE)&amp;" ","")&amp;IFERROR(VLOOKUP(B99,[1]list!$A:$R,18,FALSE)&amp;" ","")&amp;IFERROR(VLOOKUP(B99,[1]list!$A:$S,19,FALSE)&amp;" ","")&amp;IFERROR(VLOOKUP(B99,[1]list!$A:$T,20,FALSE)&amp;" ","")))</f>
        <v>goods</v>
      </c>
      <c r="J99" t="str">
        <f>SUBSTITUTE(IFERROR(VLOOKUP(B99,[1]list!$A:$R,15,FALSE)&amp;" ","")," ","")</f>
        <v/>
      </c>
      <c r="K99" t="str">
        <f>SUBSTITUTE(IFERROR(VLOOKUP(B99,[1]list!$A:$R,16,FALSE)&amp;" ","")," ","")</f>
        <v/>
      </c>
      <c r="L99" t="str">
        <f>SUBSTITUTE(IFERROR(VLOOKUP(B99,[1]list!$A:$R,18,FALSE)&amp;" ","")," ","")</f>
        <v/>
      </c>
      <c r="M99" t="str">
        <f t="shared" si="7"/>
        <v>W</v>
      </c>
    </row>
    <row r="100" spans="1:13">
      <c r="A100">
        <v>98</v>
      </c>
      <c r="B100" t="s">
        <v>66</v>
      </c>
      <c r="C100" t="str">
        <f>IFERROR(VLOOKUP(B100,[1]list!$A:$B,2,FALSE),"")</f>
        <v>ゼフ</v>
      </c>
      <c r="D100" t="str">
        <f>IFERROR(VLOOKUP(B100,[1]list!$A:$F,6,FALSE),"")</f>
        <v>フランスでは「Vogue」や「milk」などでも紹介されている人気子供服ブランドZEF。エスニックテイストなどを始めとして上質でフランスならではの素敵なセンスと上質さを散りばめたアイテムが注目を集めています。</v>
      </c>
      <c r="E100" t="str">
        <f>ref!$B$4&amp;ref!$B$5&amp;IFERROR(VLOOKUP(B100,[1]list!$A:$D,4,FALSE),"")</f>
        <v>/fs/lilietnene/c/zef</v>
      </c>
      <c r="F100" s="1" t="str">
        <f>IFERROR(VLOOKUP(B100,[1]list!$A:$E,5,FALSE),"")</f>
        <v>zef</v>
      </c>
      <c r="G100" t="str">
        <f t="shared" ref="G100" si="8">B100&amp;" "&amp;C100</f>
        <v>ZEF ゼフ</v>
      </c>
      <c r="H100" t="str">
        <f>SUBSTITUTE(IFERROR(VLOOKUP(B100,[1]list!$A:$U,21,FALSE),""),"0","")</f>
        <v>ウエア</v>
      </c>
      <c r="I100" t="str">
        <f>LOWER(TRIM(IFERROR(VLOOKUP(B100,[1]list!$A:$R,15,FALSE)&amp;" ","")&amp;IFERROR(VLOOKUP(B100,[1]list!$A:$R,16,FALSE)&amp;" ","")&amp;IFERROR(VLOOKUP(B100,[1]list!$A:$R,18,FALSE)&amp;" ","")&amp;IFERROR(VLOOKUP(B100,[1]list!$A:$S,19,FALSE)&amp;" ","")&amp;IFERROR(VLOOKUP(B100,[1]list!$A:$T,20,FALSE)&amp;" ","")))</f>
        <v>baby kids</v>
      </c>
      <c r="J100" t="str">
        <f>SUBSTITUTE(IFERROR(VLOOKUP(B100,[1]list!$A:$R,15,FALSE)&amp;" ","")," ","")</f>
        <v>BABY</v>
      </c>
      <c r="K100" t="str">
        <f>SUBSTITUTE(IFERROR(VLOOKUP(B100,[1]list!$A:$R,16,FALSE)&amp;" ","")," ","")</f>
        <v>KIDS</v>
      </c>
      <c r="L100" t="str">
        <f>SUBSTITUTE(IFERROR(VLOOKUP(B100,[1]list!$A:$R,18,FALSE)&amp;" ","")," ","")</f>
        <v/>
      </c>
      <c r="M100" t="str">
        <f t="shared" ref="M100" si="9">LEFT(B100,1)</f>
        <v>Z</v>
      </c>
    </row>
  </sheetData>
  <autoFilter ref="A1:M100"/>
  <sortState ref="A2:L1048576">
    <sortCondition ref="B2:B1048576"/>
  </sortState>
  <phoneticPr fontId="18"/>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40</vt:i4>
      </vt:variant>
    </vt:vector>
  </HeadingPairs>
  <TitlesOfParts>
    <vt:vector size="40" baseType="lpstr">
      <vt:lpstr>result</vt:lpstr>
      <vt:lpstr>all</vt:lpstr>
      <vt:lpstr>ref</vt:lpstr>
      <vt:lpstr>index.carousel</vt:lpstr>
      <vt:lpstr>index.arrivals</vt:lpstr>
      <vt:lpstr>index.collection</vt:lpstr>
      <vt:lpstr>index.brands</vt:lpstr>
      <vt:lpstr>index.blog</vt:lpstr>
      <vt:lpstr>baby.hero</vt:lpstr>
      <vt:lpstr>kids.hero</vt:lpstr>
      <vt:lpstr>woman.hero</vt:lpstr>
      <vt:lpstr>baby.brand</vt:lpstr>
      <vt:lpstr>kids.brand</vt:lpstr>
      <vt:lpstr>woman.brand</vt:lpstr>
      <vt:lpstr>baby.item</vt:lpstr>
      <vt:lpstr>kids.item</vt:lpstr>
      <vt:lpstr>woman.item</vt:lpstr>
      <vt:lpstr>nav.baby-items</vt:lpstr>
      <vt:lpstr>nav.kids-items</vt:lpstr>
      <vt:lpstr>nav.woman-items</vt:lpstr>
      <vt:lpstr>nav.baby-size</vt:lpstr>
      <vt:lpstr>nav.kids-size</vt:lpstr>
      <vt:lpstr>nav.baby-brand</vt:lpstr>
      <vt:lpstr>nav.kids-brand</vt:lpstr>
      <vt:lpstr>nav.woman-brand1</vt:lpstr>
      <vt:lpstr>nav.woman-brand2</vt:lpstr>
      <vt:lpstr>nav.baby-goods</vt:lpstr>
      <vt:lpstr>nav.kids-goods</vt:lpstr>
      <vt:lpstr>nav.woman-goods</vt:lpstr>
      <vt:lpstr>nav.goods-items1</vt:lpstr>
      <vt:lpstr>nav.goods-items2</vt:lpstr>
      <vt:lpstr>nav.goods-brands</vt:lpstr>
      <vt:lpstr>nav.goods-toy</vt:lpstr>
      <vt:lpstr>nav.gifts-personality</vt:lpstr>
      <vt:lpstr>nav.gifts-set</vt:lpstr>
      <vt:lpstr>nav.gifts-budget</vt:lpstr>
      <vt:lpstr>nav.sale-season</vt:lpstr>
      <vt:lpstr>nav.sale-category</vt:lpstr>
      <vt:lpstr>nav.sale-outlet</vt:lpstr>
      <vt:lpstr>brands.index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Tomoko Hayashi</dc:creator>
  <cp:lastModifiedBy>Tomoko Hayashi</cp:lastModifiedBy>
  <dcterms:created xsi:type="dcterms:W3CDTF">2018-01-22T01:30:25Z</dcterms:created>
  <dcterms:modified xsi:type="dcterms:W3CDTF">2018-02-09T13:40:21Z</dcterms:modified>
</cp:coreProperties>
</file>